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shboard" sheetId="1" state="visible" r:id="rId3"/>
    <sheet name="Chart of Accounts" sheetId="2" state="visible" r:id="rId4"/>
    <sheet name="Revenue Tracking" sheetId="3" state="visible" r:id="rId5"/>
    <sheet name="Stripe Reconciliation" sheetId="4" state="visible" r:id="rId6"/>
    <sheet name="Royalty Accounting" sheetId="5" state="visible" r:id="rId7"/>
    <sheet name="Pro Forma P&amp;L" sheetId="6" state="visible" r:id="rId8"/>
    <sheet name="Month-End Close" sheetId="7" state="visible" r:id="rId9"/>
    <sheet name="Stripe Products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<sst xmlns="http://schemas.openxmlformats.org/spreadsheetml/2006/main" count="572" uniqueCount="400">
  <si>
    <t xml:space="preserve">NOIZY LABS — Financial Operations Command Center</t>
  </si>
  <si>
    <t xml:space="preserve">Fish Music Inc | acct_1S7kf5B1WYNnCLY0 | Generated: 2026-03-25</t>
  </si>
  <si>
    <t xml:space="preserve">KEY METRICS</t>
  </si>
  <si>
    <t xml:space="preserve">Metric</t>
  </si>
  <si>
    <t xml:space="preserve">Current</t>
  </si>
  <si>
    <t xml:space="preserve">Prior Month</t>
  </si>
  <si>
    <t xml:space="preserve">Change</t>
  </si>
  <si>
    <t xml:space="preserve">% Change</t>
  </si>
  <si>
    <t xml:space="preserve">Monthly Recurring Revenue (MRR)</t>
  </si>
  <si>
    <t xml:space="preserve">Annual Run Rate (ARR)</t>
  </si>
  <si>
    <t xml:space="preserve">Active Licensees</t>
  </si>
  <si>
    <t xml:space="preserve">Artist Royalty Pool (75%)</t>
  </si>
  <si>
    <t xml:space="preserve">NOIZY Platform Fee (25%)</t>
  </si>
  <si>
    <t xml:space="preserve">Founding Members (85/15)</t>
  </si>
  <si>
    <t xml:space="preserve">INFRASTRUCTURE STATUS</t>
  </si>
  <si>
    <t xml:space="preserve">System</t>
  </si>
  <si>
    <t xml:space="preserve">Status</t>
  </si>
  <si>
    <t xml:space="preserve">Details</t>
  </si>
  <si>
    <t xml:space="preserve">Heaven17 Consent Kernel</t>
  </si>
  <si>
    <t xml:space="preserve">LIVE</t>
  </si>
  <si>
    <t xml:space="preserve">heaven17.noizylab.workers.dev</t>
  </si>
  <si>
    <t xml:space="preserve">gabriel_db (D1)</t>
  </si>
  <si>
    <t xml:space="preserve">10 consent tables, 68 total</t>
  </si>
  <si>
    <t xml:space="preserve">Stripe Payments</t>
  </si>
  <si>
    <t xml:space="preserve">4 products, 4 prices, 4 payment links</t>
  </si>
  <si>
    <t xml:space="preserve">Consent Gateway Worker</t>
  </si>
  <si>
    <t xml:space="preserve">DEPLOY READY</t>
  </si>
  <si>
    <t xml:space="preserve">515 lines, wrangler.toml configured</t>
  </si>
  <si>
    <t xml:space="preserve">R2 Voice Vault</t>
  </si>
  <si>
    <t xml:space="preserve">BLOCKED</t>
  </si>
  <si>
    <t xml:space="preserve">Requires Dashboard enablement</t>
  </si>
  <si>
    <t xml:space="preserve">noizy.ai Landing</t>
  </si>
  <si>
    <t xml:space="preserve">BUILT</t>
  </si>
  <si>
    <t xml:space="preserve">Awaiting wrangler deploy</t>
  </si>
  <si>
    <t xml:space="preserve">DreamChamber</t>
  </si>
  <si>
    <t xml:space="preserve">LOCAL</t>
  </si>
  <si>
    <t xml:space="preserve">Port 7777, 11 providers</t>
  </si>
  <si>
    <t xml:space="preserve">Linear Project Tracking</t>
  </si>
  <si>
    <t xml:space="preserve">11 issues, critical path tracked</t>
  </si>
  <si>
    <t xml:space="preserve">GABRIEL Memory Graph</t>
  </si>
  <si>
    <t xml:space="preserve">40+ entities, 60+ relations</t>
  </si>
  <si>
    <t xml:space="preserve">CRITICAL PATH → APRIL 17, 2026</t>
  </si>
  <si>
    <t xml:space="preserve">Issue</t>
  </si>
  <si>
    <t xml:space="preserve">Block</t>
  </si>
  <si>
    <t xml:space="preserve">Due Date</t>
  </si>
  <si>
    <t xml:space="preserve">Priority</t>
  </si>
  <si>
    <t xml:space="preserve">NOI-18</t>
  </si>
  <si>
    <t xml:space="preserve">BLOCK 0: GoDaddy Exit</t>
  </si>
  <si>
    <t xml:space="preserve">2026-03-28</t>
  </si>
  <si>
    <t xml:space="preserve">URGENT</t>
  </si>
  <si>
    <t xml:space="preserve">Manual — CF email change</t>
  </si>
  <si>
    <t xml:space="preserve">NOI-19</t>
  </si>
  <si>
    <t xml:space="preserve">BLOCK 1: Deploy consent-gateway</t>
  </si>
  <si>
    <t xml:space="preserve">2026-03-29</t>
  </si>
  <si>
    <t xml:space="preserve">wrangler deploy on GOD.local</t>
  </si>
  <si>
    <t xml:space="preserve">NOI-20</t>
  </si>
  <si>
    <t xml:space="preserve">BLOCK 2: Enable R2 storage</t>
  </si>
  <si>
    <t xml:space="preserve">2026-03-30</t>
  </si>
  <si>
    <t xml:space="preserve">HIGH</t>
  </si>
  <si>
    <t xml:space="preserve">Manual — CF Dashboard</t>
  </si>
  <si>
    <t xml:space="preserve">NOI-21</t>
  </si>
  <si>
    <t xml:space="preserve">BLOCK 3: Fix ANTHROPIC_API_KEY</t>
  </si>
  <si>
    <t xml:space="preserve">2026-03-31</t>
  </si>
  <si>
    <t xml:space="preserve">New API key needed</t>
  </si>
  <si>
    <t xml:space="preserve">NOI-22</t>
  </si>
  <si>
    <t xml:space="preserve">BLOCK 4: CF API token</t>
  </si>
  <si>
    <t xml:space="preserve">2026-04-01</t>
  </si>
  <si>
    <t xml:space="preserve">Scoped token creation</t>
  </si>
  <si>
    <t xml:space="preserve">NOI-23</t>
  </si>
  <si>
    <t xml:space="preserve">BLOCK 5: GitHub consolidation</t>
  </si>
  <si>
    <t xml:space="preserve">2026-04-05</t>
  </si>
  <si>
    <t xml:space="preserve">MEDIUM</t>
  </si>
  <si>
    <t xml:space="preserve">Repo organization</t>
  </si>
  <si>
    <t xml:space="preserve">NOI-26</t>
  </si>
  <si>
    <t xml:space="preserve">Castle briefing email</t>
  </si>
  <si>
    <t xml:space="preserve">Drafted — send manually</t>
  </si>
  <si>
    <t xml:space="preserve">NOIZY Labs / Fish Music Inc — Chart of Accounts</t>
  </si>
  <si>
    <t xml:space="preserve">Account #</t>
  </si>
  <si>
    <t xml:space="preserve">Account Name</t>
  </si>
  <si>
    <t xml:space="preserve">Type</t>
  </si>
  <si>
    <t xml:space="preserve">Category</t>
  </si>
  <si>
    <t xml:space="preserve">Description</t>
  </si>
  <si>
    <t xml:space="preserve">1000</t>
  </si>
  <si>
    <t xml:space="preserve">Cash — Operating</t>
  </si>
  <si>
    <t xml:space="preserve">Asset</t>
  </si>
  <si>
    <t xml:space="preserve">Primary business checking (Stripe payouts)</t>
  </si>
  <si>
    <t xml:space="preserve">1010</t>
  </si>
  <si>
    <t xml:space="preserve">Cash — Stripe Balance</t>
  </si>
  <si>
    <t xml:space="preserve">Funds held in Stripe pending payout</t>
  </si>
  <si>
    <t xml:space="preserve">1020</t>
  </si>
  <si>
    <t xml:space="preserve">Cash — Reserve</t>
  </si>
  <si>
    <t xml:space="preserve">Operating reserve / emergency fund</t>
  </si>
  <si>
    <t xml:space="preserve">1100</t>
  </si>
  <si>
    <t xml:space="preserve">Accounts Receivable</t>
  </si>
  <si>
    <t xml:space="preserve">Licensee invoices outstanding</t>
  </si>
  <si>
    <t xml:space="preserve">1200</t>
  </si>
  <si>
    <t xml:space="preserve">Prepaid Expenses</t>
  </si>
  <si>
    <t xml:space="preserve">Prepaid hosting, domains, subscriptions</t>
  </si>
  <si>
    <t xml:space="preserve">1300</t>
  </si>
  <si>
    <t xml:space="preserve">Security Deposits</t>
  </si>
  <si>
    <t xml:space="preserve">Service deposits</t>
  </si>
  <si>
    <t xml:space="preserve">1500</t>
  </si>
  <si>
    <t xml:space="preserve">Equipment — M2 Ultra</t>
  </si>
  <si>
    <t xml:space="preserve">Fixed</t>
  </si>
  <si>
    <t xml:space="preserve">GOD.local Mac Studio</t>
  </si>
  <si>
    <t xml:space="preserve">1510</t>
  </si>
  <si>
    <t xml:space="preserve">Accumulated Depreciation</t>
  </si>
  <si>
    <t xml:space="preserve">Contra-asset for equipment</t>
  </si>
  <si>
    <t xml:space="preserve">1600</t>
  </si>
  <si>
    <t xml:space="preserve">Intangible Assets — Software</t>
  </si>
  <si>
    <t xml:space="preserve">Intangible</t>
  </si>
  <si>
    <t xml:space="preserve">Developed software (Heaven17, DreamChamber)</t>
  </si>
  <si>
    <t xml:space="preserve">1610</t>
  </si>
  <si>
    <t xml:space="preserve">Intangible Assets — Voice DNA Vault</t>
  </si>
  <si>
    <t xml:space="preserve">Enrolled voice recordings and spectral data</t>
  </si>
  <si>
    <t xml:space="preserve">2000</t>
  </si>
  <si>
    <t xml:space="preserve">Accounts Payable</t>
  </si>
  <si>
    <t xml:space="preserve">Liability</t>
  </si>
  <si>
    <t xml:space="preserve">Vendor invoices owed</t>
  </si>
  <si>
    <t xml:space="preserve">2100</t>
  </si>
  <si>
    <t xml:space="preserve">Accrued Liabilities</t>
  </si>
  <si>
    <t xml:space="preserve">Accrued expenses not yet billed</t>
  </si>
  <si>
    <t xml:space="preserve">2200</t>
  </si>
  <si>
    <t xml:space="preserve">Royalties Payable — Artists</t>
  </si>
  <si>
    <t xml:space="preserve">Earned royalties owed to enrolled actors</t>
  </si>
  <si>
    <t xml:space="preserve">2210</t>
  </si>
  <si>
    <t xml:space="preserve">Royalties Payable — Founding</t>
  </si>
  <si>
    <t xml:space="preserve">85/15 split founding member royalties</t>
  </si>
  <si>
    <t xml:space="preserve">2300</t>
  </si>
  <si>
    <t xml:space="preserve">Deferred Revenue</t>
  </si>
  <si>
    <t xml:space="preserve">Prepaid license fees not yet earned</t>
  </si>
  <si>
    <t xml:space="preserve">2400</t>
  </si>
  <si>
    <t xml:space="preserve">GST/QST Payable</t>
  </si>
  <si>
    <t xml:space="preserve">Canadian sales tax collected</t>
  </si>
  <si>
    <t xml:space="preserve">2500</t>
  </si>
  <si>
    <t xml:space="preserve">Credit Card Payable</t>
  </si>
  <si>
    <t xml:space="preserve">Business credit card balance</t>
  </si>
  <si>
    <t xml:space="preserve">3000</t>
  </si>
  <si>
    <t xml:space="preserve">Owner's Equity — RSP_001</t>
  </si>
  <si>
    <t xml:space="preserve">Equity</t>
  </si>
  <si>
    <t xml:space="preserve">Robert Stephen Plowman capital contribution</t>
  </si>
  <si>
    <t xml:space="preserve">3100</t>
  </si>
  <si>
    <t xml:space="preserve">Retained Earnings</t>
  </si>
  <si>
    <t xml:space="preserve">Accumulated profits/losses</t>
  </si>
  <si>
    <t xml:space="preserve">3200</t>
  </si>
  <si>
    <t xml:space="preserve">Current Year Earnings</t>
  </si>
  <si>
    <t xml:space="preserve">Current period net income</t>
  </si>
  <si>
    <t xml:space="preserve">4000</t>
  </si>
  <si>
    <t xml:space="preserve">License Revenue — Community/Indie</t>
  </si>
  <si>
    <t xml:space="preserve">Revenue</t>
  </si>
  <si>
    <t xml:space="preserve">Operating</t>
  </si>
  <si>
    <t xml:space="preserve">$29.99/mo — 75/25 split</t>
  </si>
  <si>
    <t xml:space="preserve">4010</t>
  </si>
  <si>
    <t xml:space="preserve">License Revenue — Standard Commercial</t>
  </si>
  <si>
    <t xml:space="preserve">$149.99/mo — 75/25 split</t>
  </si>
  <si>
    <t xml:space="preserve">4020</t>
  </si>
  <si>
    <t xml:space="preserve">License Revenue — Premium/Broadcast</t>
  </si>
  <si>
    <t xml:space="preserve">$499.99/mo — 75/25 split</t>
  </si>
  <si>
    <t xml:space="preserve">4030</t>
  </si>
  <si>
    <t xml:space="preserve">License Revenue — Founding Member</t>
  </si>
  <si>
    <t xml:space="preserve">$99.99/mo — 85/15 split</t>
  </si>
  <si>
    <t xml:space="preserve">4100</t>
  </si>
  <si>
    <t xml:space="preserve">Synthesis Usage Revenue</t>
  </si>
  <si>
    <t xml:space="preserve">Per-use synthesis fees (future)</t>
  </si>
  <si>
    <t xml:space="preserve">4200</t>
  </si>
  <si>
    <t xml:space="preserve">Custom Integration Revenue</t>
  </si>
  <si>
    <t xml:space="preserve">Enterprise custom integration fees</t>
  </si>
  <si>
    <t xml:space="preserve">4900</t>
  </si>
  <si>
    <t xml:space="preserve">Other Revenue</t>
  </si>
  <si>
    <t xml:space="preserve">Non-Operating</t>
  </si>
  <si>
    <t xml:space="preserve">Interest, refunds, miscellaneous</t>
  </si>
  <si>
    <t xml:space="preserve">5000</t>
  </si>
  <si>
    <t xml:space="preserve">Cloudflare Hosting — Workers/D1</t>
  </si>
  <si>
    <t xml:space="preserve">COGS</t>
  </si>
  <si>
    <t xml:space="preserve">Direct</t>
  </si>
  <si>
    <t xml:space="preserve">Heaven17, consent-gateway compute</t>
  </si>
  <si>
    <t xml:space="preserve">5010</t>
  </si>
  <si>
    <t xml:space="preserve">Cloudflare Hosting — R2 Storage</t>
  </si>
  <si>
    <t xml:space="preserve">Voice vault object storage</t>
  </si>
  <si>
    <t xml:space="preserve">5020</t>
  </si>
  <si>
    <t xml:space="preserve">Cloudflare Hosting — KV/Other</t>
  </si>
  <si>
    <t xml:space="preserve">KV namespace, bandwidth, other</t>
  </si>
  <si>
    <t xml:space="preserve">5100</t>
  </si>
  <si>
    <t xml:space="preserve">AI Provider Costs</t>
  </si>
  <si>
    <t xml:space="preserve">Anthropic, OpenAI, Gemini API usage</t>
  </si>
  <si>
    <t xml:space="preserve">5200</t>
  </si>
  <si>
    <t xml:space="preserve">Stripe Processing Fees</t>
  </si>
  <si>
    <t xml:space="preserve">2.9% + $0.30 per transaction</t>
  </si>
  <si>
    <t xml:space="preserve">5300</t>
  </si>
  <si>
    <t xml:space="preserve">C2PA / Provenance Costs</t>
  </si>
  <si>
    <t xml:space="preserve">Content credential generation</t>
  </si>
  <si>
    <t xml:space="preserve">5400</t>
  </si>
  <si>
    <t xml:space="preserve">Royalty Expense — Artists (75%)</t>
  </si>
  <si>
    <t xml:space="preserve">Standard artist royalty payout</t>
  </si>
  <si>
    <t xml:space="preserve">5410</t>
  </si>
  <si>
    <t xml:space="preserve">Royalty Expense — Founding (85%)</t>
  </si>
  <si>
    <t xml:space="preserve">Founding member royalty payout</t>
  </si>
  <si>
    <t xml:space="preserve">6000</t>
  </si>
  <si>
    <t xml:space="preserve">Research &amp; Development</t>
  </si>
  <si>
    <t xml:space="preserve">OpEx</t>
  </si>
  <si>
    <t xml:space="preserve">Software development, prototyping</t>
  </si>
  <si>
    <t xml:space="preserve">6100</t>
  </si>
  <si>
    <t xml:space="preserve">Domain Registrations</t>
  </si>
  <si>
    <t xml:space="preserve">noizyfish.com, noizy.ai, etc.</t>
  </si>
  <si>
    <t xml:space="preserve">6110</t>
  </si>
  <si>
    <t xml:space="preserve">Software Subscriptions</t>
  </si>
  <si>
    <t xml:space="preserve">GitHub, Linear, Slack, tools</t>
  </si>
  <si>
    <t xml:space="preserve">6120</t>
  </si>
  <si>
    <t xml:space="preserve">Professional Services</t>
  </si>
  <si>
    <t xml:space="preserve">Legal, accounting, consulting</t>
  </si>
  <si>
    <t xml:space="preserve">6200</t>
  </si>
  <si>
    <t xml:space="preserve">Marketing &amp; Communications</t>
  </si>
  <si>
    <t xml:space="preserve">Website, PR, content creation</t>
  </si>
  <si>
    <t xml:space="preserve">6300</t>
  </si>
  <si>
    <t xml:space="preserve">Office &amp; Administrative</t>
  </si>
  <si>
    <t xml:space="preserve">Supplies, insurance, misc admin</t>
  </si>
  <si>
    <t xml:space="preserve">6400</t>
  </si>
  <si>
    <t xml:space="preserve">Travel &amp; Entertainment</t>
  </si>
  <si>
    <t xml:space="preserve">Business travel, conferences</t>
  </si>
  <si>
    <t xml:space="preserve">6500</t>
  </si>
  <si>
    <t xml:space="preserve">Depreciation &amp; Amortization</t>
  </si>
  <si>
    <t xml:space="preserve">Equipment and software depreciation</t>
  </si>
  <si>
    <t xml:space="preserve">6600</t>
  </si>
  <si>
    <t xml:space="preserve">Bank Fees</t>
  </si>
  <si>
    <t xml:space="preserve">Bank charges, wire fees</t>
  </si>
  <si>
    <t xml:space="preserve">6700</t>
  </si>
  <si>
    <t xml:space="preserve">Insurance</t>
  </si>
  <si>
    <t xml:space="preserve">Business liability, E&amp;O</t>
  </si>
  <si>
    <t xml:space="preserve">6800</t>
  </si>
  <si>
    <t xml:space="preserve">Legal &amp; Compliance</t>
  </si>
  <si>
    <t xml:space="preserve">IP protection, NO FAKES Act advocacy</t>
  </si>
  <si>
    <t xml:space="preserve">8000</t>
  </si>
  <si>
    <t xml:space="preserve">Income Tax Expense</t>
  </si>
  <si>
    <t xml:space="preserve">Tax</t>
  </si>
  <si>
    <t xml:space="preserve">Federal and provincial income tax</t>
  </si>
  <si>
    <t xml:space="preserve">8100</t>
  </si>
  <si>
    <t xml:space="preserve">Tax Credits — SR&amp;ED</t>
  </si>
  <si>
    <t xml:space="preserve">Canadian SR&amp;ED R&amp;D tax credits</t>
  </si>
  <si>
    <t xml:space="preserve">NOIZY Revenue &amp; Licensee Tracking</t>
  </si>
  <si>
    <t xml:space="preserve">Total MRR:</t>
  </si>
  <si>
    <t xml:space="preserve">Total Licensees:</t>
  </si>
  <si>
    <t xml:space="preserve">Tier</t>
  </si>
  <si>
    <t xml:space="preserve">Price/Mo</t>
  </si>
  <si>
    <t xml:space="preserve">Monthly Rev</t>
  </si>
  <si>
    <t xml:space="preserve">Artist Split</t>
  </si>
  <si>
    <t xml:space="preserve">Artist Payout</t>
  </si>
  <si>
    <t xml:space="preserve">NOIZY Revenue</t>
  </si>
  <si>
    <t xml:space="preserve">Community/Indie</t>
  </si>
  <si>
    <t xml:space="preserve">Standard Commercial</t>
  </si>
  <si>
    <t xml:space="preserve">Premium/Broadcast</t>
  </si>
  <si>
    <t xml:space="preserve">Founding Member</t>
  </si>
  <si>
    <t xml:space="preserve">TOTAL</t>
  </si>
  <si>
    <t xml:space="preserve">MONTHLY REVENUE LEDGER</t>
  </si>
  <si>
    <t xml:space="preserve">Month</t>
  </si>
  <si>
    <t xml:space="preserve">Community</t>
  </si>
  <si>
    <t xml:space="preserve">Standard</t>
  </si>
  <si>
    <t xml:space="preserve">Premium</t>
  </si>
  <si>
    <t xml:space="preserve">Founding</t>
  </si>
  <si>
    <t xml:space="preserve">Total MRR</t>
  </si>
  <si>
    <t xml:space="preserve">Artist Payouts</t>
  </si>
  <si>
    <t xml:space="preserve">NOIZY Net</t>
  </si>
  <si>
    <t xml:space="preserve">Cumulative</t>
  </si>
  <si>
    <t xml:space="preserve">Apr-26</t>
  </si>
  <si>
    <t xml:space="preserve">May-26</t>
  </si>
  <si>
    <t xml:space="preserve">Jun-26</t>
  </si>
  <si>
    <t xml:space="preserve">Jul-26</t>
  </si>
  <si>
    <t xml:space="preserve">Aug-26</t>
  </si>
  <si>
    <t xml:space="preserve">Sep-26</t>
  </si>
  <si>
    <t xml:space="preserve">Oct-26</t>
  </si>
  <si>
    <t xml:space="preserve">Nov-26</t>
  </si>
  <si>
    <t xml:space="preserve">Dec-26</t>
  </si>
  <si>
    <t xml:space="preserve">Jan-27</t>
  </si>
  <si>
    <t xml:space="preserve">Feb-27</t>
  </si>
  <si>
    <t xml:space="preserve">Mar-27</t>
  </si>
  <si>
    <t xml:space="preserve">Stripe Revenue Reconciliation</t>
  </si>
  <si>
    <t xml:space="preserve">Reconcile Stripe payouts to GL cash and revenue accounts monthly</t>
  </si>
  <si>
    <t xml:space="preserve">Period</t>
  </si>
  <si>
    <t xml:space="preserve">Stripe Gross</t>
  </si>
  <si>
    <t xml:space="preserve">Stripe Fees</t>
  </si>
  <si>
    <t xml:space="preserve">Stripe Net</t>
  </si>
  <si>
    <t xml:space="preserve">GL Revenue</t>
  </si>
  <si>
    <t xml:space="preserve">GL Cash</t>
  </si>
  <si>
    <t xml:space="preserve">Variance</t>
  </si>
  <si>
    <t xml:space="preserve">RECONCILING ITEMS</t>
  </si>
  <si>
    <t xml:space="preserve">Date</t>
  </si>
  <si>
    <t xml:space="preserve">Amount</t>
  </si>
  <si>
    <t xml:space="preserve">Resolution</t>
  </si>
  <si>
    <t xml:space="preserve">Artist Royalty Accounting &amp; Payout Tracker</t>
  </si>
  <si>
    <t xml:space="preserve">75/25 standard split | 85/15 founding | All amounts USD | Kill Switch = instant freeze</t>
  </si>
  <si>
    <t xml:space="preserve">Actor ID</t>
  </si>
  <si>
    <t xml:space="preserve">Actor Name</t>
  </si>
  <si>
    <t xml:space="preserve">Gross Revenue</t>
  </si>
  <si>
    <t xml:space="preserve">Split %</t>
  </si>
  <si>
    <t xml:space="preserve">Royalty Owed</t>
  </si>
  <si>
    <t xml:space="preserve">Paid to Date</t>
  </si>
  <si>
    <t xml:space="preserve">Balance Due</t>
  </si>
  <si>
    <t xml:space="preserve">RSP_001</t>
  </si>
  <si>
    <t xml:space="preserve">Robert Stephen Plowman</t>
  </si>
  <si>
    <t xml:space="preserve">NOIZY Labs — Pro Forma Income Statement</t>
  </si>
  <si>
    <t xml:space="preserve">Year 1 Projection (April 2026 — March 2027) | All amounts USD</t>
  </si>
  <si>
    <t xml:space="preserve">Q1 (Apr-Jun)</t>
  </si>
  <si>
    <t xml:space="preserve">Q2 (Jul-Sep)</t>
  </si>
  <si>
    <t xml:space="preserve">Q3 (Oct-Dec)</t>
  </si>
  <si>
    <t xml:space="preserve">Q4 (Jan-Mar)</t>
  </si>
  <si>
    <t xml:space="preserve">Full Year</t>
  </si>
  <si>
    <t xml:space="preserve">REVENUE</t>
  </si>
  <si>
    <t xml:space="preserve">Total Revenue</t>
  </si>
  <si>
    <t xml:space="preserve">COST OF REVENUE</t>
  </si>
  <si>
    <t xml:space="preserve">Cloudflare Hosting</t>
  </si>
  <si>
    <t xml:space="preserve">Artist Royalty Payouts</t>
  </si>
  <si>
    <t xml:space="preserve">C2PA / Provenance</t>
  </si>
  <si>
    <t xml:space="preserve">Total Cost of Revenue</t>
  </si>
  <si>
    <t xml:space="preserve">GROSS PROFIT</t>
  </si>
  <si>
    <t xml:space="preserve">Gross Margin %</t>
  </si>
  <si>
    <t xml:space="preserve">OPERATING EXPENSES</t>
  </si>
  <si>
    <t xml:space="preserve">Professional Services (Legal)</t>
  </si>
  <si>
    <t xml:space="preserve">General &amp; Administrative</t>
  </si>
  <si>
    <t xml:space="preserve">Total Operating Expenses</t>
  </si>
  <si>
    <t xml:space="preserve">OPERATING INCOME (LOSS)</t>
  </si>
  <si>
    <t xml:space="preserve">SR&amp;ED Tax Credit (estimated)</t>
  </si>
  <si>
    <t xml:space="preserve">NET INCOME (LOSS)</t>
  </si>
  <si>
    <t xml:space="preserve">NOIZY Labs — Month-End Close Checklist</t>
  </si>
  <si>
    <t xml:space="preserve">Day</t>
  </si>
  <si>
    <t xml:space="preserve">Task</t>
  </si>
  <si>
    <t xml:space="preserve">Owner</t>
  </si>
  <si>
    <t xml:space="preserve">Notes</t>
  </si>
  <si>
    <t xml:space="preserve">T+0</t>
  </si>
  <si>
    <t xml:space="preserve">Confirm Stripe payout for month processed</t>
  </si>
  <si>
    <t xml:space="preserve">Download Stripe balance report</t>
  </si>
  <si>
    <t xml:space="preserve">Export Stripe transaction CSV for period</t>
  </si>
  <si>
    <t xml:space="preserve">Stripe Dashboard → Reports</t>
  </si>
  <si>
    <t xml:space="preserve">Confirm all subscription renewals processed</t>
  </si>
  <si>
    <t xml:space="preserve">Check for failed payments</t>
  </si>
  <si>
    <t xml:space="preserve">T+1</t>
  </si>
  <si>
    <t xml:space="preserve">Reconcile Stripe payouts to bank deposits</t>
  </si>
  <si>
    <t xml:space="preserve">Use Stripe Reconciliation sheet</t>
  </si>
  <si>
    <t xml:space="preserve">Record revenue by license tier (4 accounts)</t>
  </si>
  <si>
    <t xml:space="preserve">Accts 4000-4030</t>
  </si>
  <si>
    <t xml:space="preserve">Calculate and record royalty obligations</t>
  </si>
  <si>
    <t xml:space="preserve">75/25 standard, 85/15 founding</t>
  </si>
  <si>
    <t xml:space="preserve">Record Stripe processing fees (5200)</t>
  </si>
  <si>
    <t xml:space="preserve">~2.9% + $0.30/txn</t>
  </si>
  <si>
    <t xml:space="preserve">Record Cloudflare hosting costs (5000-5020)</t>
  </si>
  <si>
    <t xml:space="preserve">CF Dashboard → Billing</t>
  </si>
  <si>
    <t xml:space="preserve">Record AI provider costs (5100)</t>
  </si>
  <si>
    <t xml:space="preserve">Anthropic, OpenAI invoices</t>
  </si>
  <si>
    <t xml:space="preserve">T+2</t>
  </si>
  <si>
    <t xml:space="preserve">Record software subscription expenses (6110)</t>
  </si>
  <si>
    <t xml:space="preserve">GitHub, Linear, Slack, etc.</t>
  </si>
  <si>
    <t xml:space="preserve">Review and post accruals</t>
  </si>
  <si>
    <t xml:space="preserve">Any unpaid invoices</t>
  </si>
  <si>
    <t xml:space="preserve">Update prepaid expense amortization</t>
  </si>
  <si>
    <t xml:space="preserve">Domains, annual subscriptions</t>
  </si>
  <si>
    <t xml:space="preserve">Reconcile all balance sheet accounts</t>
  </si>
  <si>
    <t xml:space="preserve">Cash, AR, AP, accrued liabilities</t>
  </si>
  <si>
    <t xml:space="preserve">T+3</t>
  </si>
  <si>
    <t xml:space="preserve">Run trial balance</t>
  </si>
  <si>
    <t xml:space="preserve">Verify debits = credits</t>
  </si>
  <si>
    <t xml:space="preserve">Generate income statement</t>
  </si>
  <si>
    <t xml:space="preserve">Compare to Pro Forma P&amp;L</t>
  </si>
  <si>
    <t xml:space="preserve">Variance analysis vs. prior month</t>
  </si>
  <si>
    <t xml:space="preserve">Investigate &gt;10% variances</t>
  </si>
  <si>
    <t xml:space="preserve">Update Revenue Tracking ledger</t>
  </si>
  <si>
    <t xml:space="preserve">Revenue Tracking sheet</t>
  </si>
  <si>
    <t xml:space="preserve">Update Royalty Accounting payouts</t>
  </si>
  <si>
    <t xml:space="preserve">Royalty Accounting sheet</t>
  </si>
  <si>
    <t xml:space="preserve">T+4</t>
  </si>
  <si>
    <t xml:space="preserve">Review and sign off</t>
  </si>
  <si>
    <t xml:space="preserve">Final review, archive period</t>
  </si>
  <si>
    <t xml:space="preserve">Post to NOIZY Ledger (append-only)</t>
  </si>
  <si>
    <t xml:space="preserve">gabriel_db audit_log entry</t>
  </si>
  <si>
    <t xml:space="preserve">Stripe Product &amp; Price Registry</t>
  </si>
  <si>
    <t xml:space="preserve">Account: Fish Music Inc (acct_1S7kf5B1WYNnCLY0) | LIVE MODE | Updated: 2026-03-25</t>
  </si>
  <si>
    <t xml:space="preserve">Product ID</t>
  </si>
  <si>
    <t xml:space="preserve">Price ID</t>
  </si>
  <si>
    <t xml:space="preserve">Payment Link ID</t>
  </si>
  <si>
    <t xml:space="preserve">Payment URL</t>
  </si>
  <si>
    <t xml:space="preserve">prod_UDTtsVWchlImmS</t>
  </si>
  <si>
    <t xml:space="preserve">price_1TF36xB1WYNnCLY0RXEMKabo</t>
  </si>
  <si>
    <t xml:space="preserve">plink_1TF379B1WYNnCLY0ls1IBxV2</t>
  </si>
  <si>
    <t xml:space="preserve">https://buy.stripe.com/3cI4gy0DWbSJ3PV3LT6EU00</t>
  </si>
  <si>
    <t xml:space="preserve">prod_UDTtVemnNMq7JU</t>
  </si>
  <si>
    <t xml:space="preserve">price_1TF36yB1WYNnCLY0WrNLwut7</t>
  </si>
  <si>
    <t xml:space="preserve">plink_1TF37AB1WYNnCLY0cxOXnoKC</t>
  </si>
  <si>
    <t xml:space="preserve">https://buy.stripe.com/4gM4gyfyQ1e5fyD3LT6EU01</t>
  </si>
  <si>
    <t xml:space="preserve">prod_UDTt1tF6qOHe0y</t>
  </si>
  <si>
    <t xml:space="preserve">price_1TF36zB1WYNnCLY0I7UQTuLs</t>
  </si>
  <si>
    <t xml:space="preserve">plink_1TF37BB1WYNnCLY0Y3NQVo6H</t>
  </si>
  <si>
    <t xml:space="preserve">https://buy.stripe.com/28E9ASaew4qh5Y30zH6EU02</t>
  </si>
  <si>
    <t xml:space="preserve">prod_UDTtI62buomJzn</t>
  </si>
  <si>
    <t xml:space="preserve">price_1TF370B1WYNnCLY0oCB8uIla</t>
  </si>
  <si>
    <t xml:space="preserve">plink_1TF37CB1WYNnCLY02cBD3Gf7</t>
  </si>
  <si>
    <t xml:space="preserve">https://buy.stripe.com/cNi8wO5Yg3md3PV8296EU03</t>
  </si>
  <si>
    <t xml:space="preserve">Royalty Split Structure</t>
  </si>
  <si>
    <t xml:space="preserve">Artist %</t>
  </si>
  <si>
    <t xml:space="preserve">NOIZY %</t>
  </si>
  <si>
    <t xml:space="preserve">Non-commercial, indie creators</t>
  </si>
  <si>
    <t xml:space="preserve">SAG-AFTRA/ACTRA compliant</t>
  </si>
  <si>
    <t xml:space="preserve">Custom terms, exclusivity options</t>
  </si>
  <si>
    <t xml:space="preserve">First 100 actors — lifetime rate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</si>
</sst>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\$#,##0"/>
    <numFmt numFmtId="166" formatCode="0.0%"/>
    <numFmt numFmtId="167" formatCode="#,##0"/>
    <numFmt numFmtId="168" formatCode="\$#,##0.00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A1A2E"/>
      <name val="Arial"/>
      <family val="0"/>
      <charset val="1"/>
    </font>
    <font>
      <sz val="10"/>
      <color rgb="FF888888"/>
      <name val="Arial"/>
      <family val="0"/>
      <charset val="1"/>
    </font>
    <font>
      <b val="true"/>
      <sz val="12"/>
      <color rgb="FF16213E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2D3436"/>
      <name val="Arial"/>
      <family val="0"/>
      <charset val="1"/>
    </font>
    <font>
      <b val="true"/>
      <sz val="14"/>
      <color rgb="FF1A1A2E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i val="true"/>
      <sz val="10"/>
      <color rgb="FF888888"/>
      <name val="Arial"/>
      <family val="0"/>
      <charset val="1"/>
    </font>
    <font>
      <b val="true"/>
      <sz val="10"/>
      <color rgb="FF1A1A2E"/>
      <name val="Arial"/>
      <family val="0"/>
      <charset val="1"/>
    </font>
    <font>
      <sz val="10"/>
      <color rgb="FF0000FF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A1A2E"/>
        <bgColor rgb="FF16213E"/>
      </patternFill>
    </fill>
    <fill>
      <patternFill patternType="solid">
        <fgColor rgb="FFF5F5F5"/>
        <bgColor rgb="FFFFFFFF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  <border diagonalUp="false" diagonalDown="false">
      <left/>
      <right/>
      <top style="double"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/>
      <right/>
      <top style="double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7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3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88888"/>
      <rgbColor rgb="FF9999FF"/>
      <rgbColor rgb="FF993366"/>
      <rgbColor rgb="FFF5F5F5"/>
      <rgbColor rgb="FFCCFFFF"/>
      <rgbColor rgb="FF660066"/>
      <rgbColor rgb="FFFF8080"/>
      <rgbColor rgb="FF0984E3"/>
      <rgbColor rgb="FFDDDDDD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6C5CE7"/>
      <rgbColor rgb="FF00B894"/>
      <rgbColor rgb="FF99CC00"/>
      <rgbColor rgb="FFE2B714"/>
      <rgbColor rgb="FFFF9900"/>
      <rgbColor rgb="FFFF6600"/>
      <rgbColor rgb="FF636E72"/>
      <rgbColor rgb="FF969696"/>
      <rgbColor rgb="FF16213E"/>
      <rgbColor rgb="FF339966"/>
      <rgbColor rgb="FF003300"/>
      <rgbColor rgb="FF1A1A2E"/>
      <rgbColor rgb="FFD63031"/>
      <rgbColor rgb="FF993366"/>
      <rgbColor rgb="FF333399"/>
      <rgbColor rgb="FF2D34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A1A2E"/>
    <pageSetUpPr fitToPage="false"/>
  </sheetPr>
  <dimension ref="A2:F3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6" min="3" style="0" width="20"/>
    <col collapsed="false" customWidth="true" hidden="false" outlineLevel="0" max="7" min="7" style="0" width="3"/>
  </cols>
  <sheetData>
    <row r="2" customFormat="false" ht="19.7" hidden="false" customHeight="false" outlineLevel="0" collapsed="false">
      <c r="B2" s="1" t="s">
        <v>0</v>
      </c>
      <c r="C2" s="1"/>
      <c r="D2" s="1"/>
      <c r="E2" s="1"/>
      <c r="F2" s="1"/>
    </row>
    <row r="3" customFormat="false" ht="15" hidden="false" customHeight="false" outlineLevel="0" collapsed="false">
      <c r="B3" s="2" t="s">
        <v>1</v>
      </c>
      <c r="C3" s="2"/>
      <c r="D3" s="2"/>
      <c r="E3" s="2"/>
      <c r="F3" s="2"/>
    </row>
    <row r="5" customFormat="false" ht="15" hidden="false" customHeight="false" outlineLevel="0" collapsed="false">
      <c r="B5" s="3" t="s">
        <v>2</v>
      </c>
    </row>
    <row r="7" customFormat="false" ht="15" hidden="false" customHeight="false" outlineLevel="0" collapsed="false">
      <c r="A7" s="4"/>
      <c r="B7" s="4" t="s">
        <v>3</v>
      </c>
      <c r="C7" s="4" t="s">
        <v>4</v>
      </c>
      <c r="D7" s="4" t="s">
        <v>5</v>
      </c>
      <c r="E7" s="4" t="s">
        <v>6</v>
      </c>
      <c r="F7" s="4" t="s">
        <v>7</v>
      </c>
    </row>
    <row r="8" customFormat="false" ht="15" hidden="false" customHeight="false" outlineLevel="0" collapsed="false">
      <c r="A8" s="5"/>
      <c r="B8" s="5" t="s">
        <v>8</v>
      </c>
      <c r="C8" s="6" t="n">
        <f aca="false">'Revenue Tracking'!G2</f>
        <v>0</v>
      </c>
      <c r="D8" s="6"/>
      <c r="E8" s="6" t="str">
        <f aca="false">IF(D8=0,"—",C8-D8)</f>
        <v>—</v>
      </c>
      <c r="F8" s="7" t="str">
        <f aca="false">IF(D8=0,"—",(C8-D8)/D8)</f>
        <v>—</v>
      </c>
    </row>
    <row r="9" customFormat="false" ht="15" hidden="false" customHeight="false" outlineLevel="0" collapsed="false">
      <c r="A9" s="8"/>
      <c r="B9" s="8" t="s">
        <v>9</v>
      </c>
      <c r="C9" s="9" t="n">
        <f aca="false">'Revenue Tracking'!G2*12</f>
        <v>0</v>
      </c>
      <c r="D9" s="9"/>
      <c r="E9" s="9" t="str">
        <f aca="false">IF(D9=0,"—",C9-D9)</f>
        <v>—</v>
      </c>
      <c r="F9" s="10" t="str">
        <f aca="false">IF(D9=0,"—",(C9-D9)/D9)</f>
        <v>—</v>
      </c>
    </row>
    <row r="10" customFormat="false" ht="15" hidden="false" customHeight="false" outlineLevel="0" collapsed="false">
      <c r="A10" s="5"/>
      <c r="B10" s="5" t="s">
        <v>10</v>
      </c>
      <c r="C10" s="11" t="n">
        <f aca="false">'Revenue Tracking'!G3</f>
        <v>0</v>
      </c>
      <c r="D10" s="11"/>
      <c r="E10" s="11" t="str">
        <f aca="false">IF(D10=0,"—",C10-D10)</f>
        <v>—</v>
      </c>
      <c r="F10" s="7" t="str">
        <f aca="false">IF(D10=0,"—",(C10-D10)/D10)</f>
        <v>—</v>
      </c>
    </row>
    <row r="11" customFormat="false" ht="15" hidden="false" customHeight="false" outlineLevel="0" collapsed="false">
      <c r="A11" s="8"/>
      <c r="B11" s="8" t="s">
        <v>11</v>
      </c>
      <c r="C11" s="9" t="n">
        <f aca="false">'Revenue Tracking'!G2*0.75</f>
        <v>0</v>
      </c>
      <c r="D11" s="9"/>
      <c r="E11" s="9" t="str">
        <f aca="false">IF(D11=0,"—",C11-D11)</f>
        <v>—</v>
      </c>
      <c r="F11" s="10" t="str">
        <f aca="false">IF(D11=0,"—",(C11-D11)/D11)</f>
        <v>—</v>
      </c>
    </row>
    <row r="12" customFormat="false" ht="15" hidden="false" customHeight="false" outlineLevel="0" collapsed="false">
      <c r="A12" s="5"/>
      <c r="B12" s="5" t="s">
        <v>12</v>
      </c>
      <c r="C12" s="6" t="n">
        <f aca="false">'Revenue Tracking'!G2*0.25</f>
        <v>0</v>
      </c>
      <c r="D12" s="6"/>
      <c r="E12" s="6" t="str">
        <f aca="false">IF(D12=0,"—",C12-D12)</f>
        <v>—</v>
      </c>
      <c r="F12" s="7" t="str">
        <f aca="false">IF(D12=0,"—",(C12-D12)/D12)</f>
        <v>—</v>
      </c>
    </row>
    <row r="13" customFormat="false" ht="15" hidden="false" customHeight="false" outlineLevel="0" collapsed="false">
      <c r="A13" s="8"/>
      <c r="B13" s="8" t="s">
        <v>13</v>
      </c>
      <c r="C13" s="12" t="str">
        <f aca="false">'Revenue Tracking'!G4</f>
        <v>NOIZY Revenue</v>
      </c>
      <c r="D13" s="12"/>
      <c r="E13" s="12" t="str">
        <f aca="false">IF(D13=0,"—",C13-D13)</f>
        <v>—</v>
      </c>
      <c r="F13" s="10" t="str">
        <f aca="false">IF(D13=0,"—",(C13-D13)/D13)</f>
        <v>—</v>
      </c>
    </row>
    <row r="16" customFormat="false" ht="15" hidden="false" customHeight="false" outlineLevel="0" collapsed="false">
      <c r="B16" s="3" t="s">
        <v>14</v>
      </c>
    </row>
    <row r="18" customFormat="false" ht="15" hidden="false" customHeight="false" outlineLevel="0" collapsed="false">
      <c r="A18" s="4"/>
      <c r="B18" s="4" t="s">
        <v>15</v>
      </c>
      <c r="C18" s="4" t="s">
        <v>16</v>
      </c>
      <c r="D18" s="4" t="s">
        <v>17</v>
      </c>
    </row>
    <row r="19" customFormat="false" ht="15" hidden="false" customHeight="false" outlineLevel="0" collapsed="false">
      <c r="A19" s="5"/>
      <c r="B19" s="5" t="s">
        <v>18</v>
      </c>
      <c r="C19" s="5" t="s">
        <v>19</v>
      </c>
      <c r="D19" s="5" t="s">
        <v>20</v>
      </c>
    </row>
    <row r="20" customFormat="false" ht="15" hidden="false" customHeight="false" outlineLevel="0" collapsed="false">
      <c r="A20" s="8"/>
      <c r="B20" s="8" t="s">
        <v>21</v>
      </c>
      <c r="C20" s="8" t="s">
        <v>19</v>
      </c>
      <c r="D20" s="8" t="s">
        <v>22</v>
      </c>
    </row>
    <row r="21" customFormat="false" ht="15" hidden="false" customHeight="false" outlineLevel="0" collapsed="false">
      <c r="A21" s="5"/>
      <c r="B21" s="5" t="s">
        <v>23</v>
      </c>
      <c r="C21" s="5" t="s">
        <v>19</v>
      </c>
      <c r="D21" s="5" t="s">
        <v>24</v>
      </c>
    </row>
    <row r="22" customFormat="false" ht="15" hidden="false" customHeight="false" outlineLevel="0" collapsed="false">
      <c r="A22" s="8"/>
      <c r="B22" s="8" t="s">
        <v>25</v>
      </c>
      <c r="C22" s="8" t="s">
        <v>26</v>
      </c>
      <c r="D22" s="8" t="s">
        <v>27</v>
      </c>
    </row>
    <row r="23" customFormat="false" ht="15" hidden="false" customHeight="false" outlineLevel="0" collapsed="false">
      <c r="A23" s="5"/>
      <c r="B23" s="5" t="s">
        <v>28</v>
      </c>
      <c r="C23" s="5" t="s">
        <v>29</v>
      </c>
      <c r="D23" s="5" t="s">
        <v>30</v>
      </c>
    </row>
    <row r="24" customFormat="false" ht="15" hidden="false" customHeight="false" outlineLevel="0" collapsed="false">
      <c r="A24" s="8"/>
      <c r="B24" s="8" t="s">
        <v>31</v>
      </c>
      <c r="C24" s="8" t="s">
        <v>32</v>
      </c>
      <c r="D24" s="8" t="s">
        <v>33</v>
      </c>
    </row>
    <row r="25" customFormat="false" ht="15" hidden="false" customHeight="false" outlineLevel="0" collapsed="false">
      <c r="A25" s="5"/>
      <c r="B25" s="5" t="s">
        <v>34</v>
      </c>
      <c r="C25" s="5" t="s">
        <v>35</v>
      </c>
      <c r="D25" s="5" t="s">
        <v>36</v>
      </c>
    </row>
    <row r="26" customFormat="false" ht="15" hidden="false" customHeight="false" outlineLevel="0" collapsed="false">
      <c r="A26" s="8"/>
      <c r="B26" s="8" t="s">
        <v>37</v>
      </c>
      <c r="C26" s="8" t="s">
        <v>19</v>
      </c>
      <c r="D26" s="8" t="s">
        <v>38</v>
      </c>
    </row>
    <row r="27" customFormat="false" ht="15" hidden="false" customHeight="false" outlineLevel="0" collapsed="false">
      <c r="A27" s="5"/>
      <c r="B27" s="5" t="s">
        <v>39</v>
      </c>
      <c r="C27" s="5" t="s">
        <v>19</v>
      </c>
      <c r="D27" s="5" t="s">
        <v>40</v>
      </c>
    </row>
    <row r="29" customFormat="false" ht="15" hidden="false" customHeight="false" outlineLevel="0" collapsed="false">
      <c r="B29" s="3" t="s">
        <v>41</v>
      </c>
    </row>
    <row r="31" customFormat="false" ht="15" hidden="false" customHeight="false" outlineLevel="0" collapsed="false">
      <c r="A31" s="4"/>
      <c r="B31" s="4" t="s">
        <v>42</v>
      </c>
      <c r="C31" s="4" t="s">
        <v>43</v>
      </c>
      <c r="D31" s="4" t="s">
        <v>44</v>
      </c>
      <c r="E31" s="4" t="s">
        <v>45</v>
      </c>
      <c r="F31" s="4" t="s">
        <v>16</v>
      </c>
    </row>
    <row r="32" customFormat="false" ht="15" hidden="false" customHeight="false" outlineLevel="0" collapsed="false">
      <c r="A32" s="5"/>
      <c r="B32" s="5" t="s">
        <v>46</v>
      </c>
      <c r="C32" s="5" t="s">
        <v>47</v>
      </c>
      <c r="D32" s="5" t="s">
        <v>48</v>
      </c>
      <c r="E32" s="5" t="s">
        <v>49</v>
      </c>
      <c r="F32" s="5" t="s">
        <v>50</v>
      </c>
    </row>
    <row r="33" customFormat="false" ht="15" hidden="false" customHeight="false" outlineLevel="0" collapsed="false">
      <c r="A33" s="8"/>
      <c r="B33" s="8" t="s">
        <v>51</v>
      </c>
      <c r="C33" s="8" t="s">
        <v>52</v>
      </c>
      <c r="D33" s="8" t="s">
        <v>53</v>
      </c>
      <c r="E33" s="8" t="s">
        <v>49</v>
      </c>
      <c r="F33" s="8" t="s">
        <v>54</v>
      </c>
    </row>
    <row r="34" customFormat="false" ht="15" hidden="false" customHeight="false" outlineLevel="0" collapsed="false">
      <c r="A34" s="5"/>
      <c r="B34" s="5" t="s">
        <v>55</v>
      </c>
      <c r="C34" s="5" t="s">
        <v>56</v>
      </c>
      <c r="D34" s="5" t="s">
        <v>57</v>
      </c>
      <c r="E34" s="5" t="s">
        <v>58</v>
      </c>
      <c r="F34" s="5" t="s">
        <v>59</v>
      </c>
    </row>
    <row r="35" customFormat="false" ht="15" hidden="false" customHeight="false" outlineLevel="0" collapsed="false">
      <c r="A35" s="8"/>
      <c r="B35" s="8" t="s">
        <v>60</v>
      </c>
      <c r="C35" s="8" t="s">
        <v>61</v>
      </c>
      <c r="D35" s="8" t="s">
        <v>62</v>
      </c>
      <c r="E35" s="8" t="s">
        <v>58</v>
      </c>
      <c r="F35" s="8" t="s">
        <v>63</v>
      </c>
    </row>
    <row r="36" customFormat="false" ht="15" hidden="false" customHeight="false" outlineLevel="0" collapsed="false">
      <c r="A36" s="5"/>
      <c r="B36" s="5" t="s">
        <v>64</v>
      </c>
      <c r="C36" s="5" t="s">
        <v>65</v>
      </c>
      <c r="D36" s="5" t="s">
        <v>66</v>
      </c>
      <c r="E36" s="5" t="s">
        <v>58</v>
      </c>
      <c r="F36" s="5" t="s">
        <v>67</v>
      </c>
    </row>
    <row r="37" customFormat="false" ht="15" hidden="false" customHeight="false" outlineLevel="0" collapsed="false">
      <c r="A37" s="8"/>
      <c r="B37" s="8" t="s">
        <v>68</v>
      </c>
      <c r="C37" s="8" t="s">
        <v>69</v>
      </c>
      <c r="D37" s="8" t="s">
        <v>70</v>
      </c>
      <c r="E37" s="8" t="s">
        <v>71</v>
      </c>
      <c r="F37" s="8" t="s">
        <v>72</v>
      </c>
    </row>
    <row r="38" customFormat="false" ht="15" hidden="false" customHeight="false" outlineLevel="0" collapsed="false">
      <c r="A38" s="5"/>
      <c r="B38" s="5" t="s">
        <v>73</v>
      </c>
      <c r="C38" s="5" t="s">
        <v>74</v>
      </c>
      <c r="D38" s="5" t="s">
        <v>66</v>
      </c>
      <c r="E38" s="5" t="s">
        <v>58</v>
      </c>
      <c r="F38" s="5" t="s">
        <v>75</v>
      </c>
    </row>
  </sheetData>
  <mergeCells count="2">
    <mergeCell ref="B2:F2"/>
    <mergeCell ref="B3:F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6213E"/>
    <pageSetUpPr fitToPage="false"/>
  </sheetPr>
  <dimension ref="A1:E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5"/>
    <col collapsed="false" customWidth="true" hidden="false" outlineLevel="0" max="3" min="3" style="0" width="15"/>
    <col collapsed="false" customWidth="true" hidden="false" outlineLevel="0" max="4" min="4" style="0" width="20"/>
    <col collapsed="false" customWidth="true" hidden="false" outlineLevel="0" max="5" min="5" style="0" width="35"/>
  </cols>
  <sheetData>
    <row r="1" customFormat="false" ht="17.35" hidden="false" customHeight="false" outlineLevel="0" collapsed="false">
      <c r="A1" s="13" t="s">
        <v>76</v>
      </c>
      <c r="B1" s="13"/>
      <c r="C1" s="13"/>
      <c r="D1" s="13"/>
      <c r="E1" s="13"/>
    </row>
    <row r="3" customFormat="false" ht="15" hidden="false" customHeight="false" outlineLevel="0" collapsed="false">
      <c r="A3" s="4" t="s">
        <v>77</v>
      </c>
      <c r="B3" s="4" t="s">
        <v>78</v>
      </c>
      <c r="C3" s="4" t="s">
        <v>79</v>
      </c>
      <c r="D3" s="4" t="s">
        <v>80</v>
      </c>
      <c r="E3" s="4" t="s">
        <v>81</v>
      </c>
    </row>
    <row r="4" customFormat="false" ht="15" hidden="false" customHeight="false" outlineLevel="0" collapsed="false">
      <c r="A4" s="5" t="s">
        <v>82</v>
      </c>
      <c r="B4" s="5" t="s">
        <v>83</v>
      </c>
      <c r="C4" s="5" t="s">
        <v>84</v>
      </c>
      <c r="D4" s="5" t="s">
        <v>4</v>
      </c>
      <c r="E4" s="5" t="s">
        <v>85</v>
      </c>
    </row>
    <row r="5" customFormat="false" ht="15" hidden="false" customHeight="false" outlineLevel="0" collapsed="false">
      <c r="A5" s="8" t="s">
        <v>86</v>
      </c>
      <c r="B5" s="8" t="s">
        <v>87</v>
      </c>
      <c r="C5" s="8" t="s">
        <v>84</v>
      </c>
      <c r="D5" s="8" t="s">
        <v>4</v>
      </c>
      <c r="E5" s="8" t="s">
        <v>88</v>
      </c>
    </row>
    <row r="6" customFormat="false" ht="15" hidden="false" customHeight="false" outlineLevel="0" collapsed="false">
      <c r="A6" s="5" t="s">
        <v>89</v>
      </c>
      <c r="B6" s="5" t="s">
        <v>90</v>
      </c>
      <c r="C6" s="5" t="s">
        <v>84</v>
      </c>
      <c r="D6" s="5" t="s">
        <v>4</v>
      </c>
      <c r="E6" s="5" t="s">
        <v>91</v>
      </c>
    </row>
    <row r="7" customFormat="false" ht="15" hidden="false" customHeight="false" outlineLevel="0" collapsed="false">
      <c r="A7" s="8" t="s">
        <v>92</v>
      </c>
      <c r="B7" s="8" t="s">
        <v>93</v>
      </c>
      <c r="C7" s="8" t="s">
        <v>84</v>
      </c>
      <c r="D7" s="8" t="s">
        <v>4</v>
      </c>
      <c r="E7" s="8" t="s">
        <v>94</v>
      </c>
    </row>
    <row r="8" customFormat="false" ht="15" hidden="false" customHeight="false" outlineLevel="0" collapsed="false">
      <c r="A8" s="5" t="s">
        <v>95</v>
      </c>
      <c r="B8" s="5" t="s">
        <v>96</v>
      </c>
      <c r="C8" s="5" t="s">
        <v>84</v>
      </c>
      <c r="D8" s="5" t="s">
        <v>4</v>
      </c>
      <c r="E8" s="5" t="s">
        <v>97</v>
      </c>
    </row>
    <row r="9" customFormat="false" ht="15" hidden="false" customHeight="false" outlineLevel="0" collapsed="false">
      <c r="A9" s="8" t="s">
        <v>98</v>
      </c>
      <c r="B9" s="8" t="s">
        <v>99</v>
      </c>
      <c r="C9" s="8" t="s">
        <v>84</v>
      </c>
      <c r="D9" s="8" t="s">
        <v>4</v>
      </c>
      <c r="E9" s="8" t="s">
        <v>100</v>
      </c>
    </row>
    <row r="10" customFormat="false" ht="15" hidden="false" customHeight="false" outlineLevel="0" collapsed="false">
      <c r="A10" s="5" t="s">
        <v>101</v>
      </c>
      <c r="B10" s="5" t="s">
        <v>102</v>
      </c>
      <c r="C10" s="5" t="s">
        <v>84</v>
      </c>
      <c r="D10" s="5" t="s">
        <v>103</v>
      </c>
      <c r="E10" s="5" t="s">
        <v>104</v>
      </c>
    </row>
    <row r="11" customFormat="false" ht="15" hidden="false" customHeight="false" outlineLevel="0" collapsed="false">
      <c r="A11" s="8" t="s">
        <v>105</v>
      </c>
      <c r="B11" s="8" t="s">
        <v>106</v>
      </c>
      <c r="C11" s="8" t="s">
        <v>84</v>
      </c>
      <c r="D11" s="8" t="s">
        <v>103</v>
      </c>
      <c r="E11" s="8" t="s">
        <v>107</v>
      </c>
    </row>
    <row r="12" customFormat="false" ht="15" hidden="false" customHeight="false" outlineLevel="0" collapsed="false">
      <c r="A12" s="5" t="s">
        <v>108</v>
      </c>
      <c r="B12" s="5" t="s">
        <v>109</v>
      </c>
      <c r="C12" s="5" t="s">
        <v>84</v>
      </c>
      <c r="D12" s="5" t="s">
        <v>110</v>
      </c>
      <c r="E12" s="5" t="s">
        <v>111</v>
      </c>
    </row>
    <row r="13" customFormat="false" ht="15" hidden="false" customHeight="false" outlineLevel="0" collapsed="false">
      <c r="A13" s="8" t="s">
        <v>112</v>
      </c>
      <c r="B13" s="8" t="s">
        <v>113</v>
      </c>
      <c r="C13" s="8" t="s">
        <v>84</v>
      </c>
      <c r="D13" s="8" t="s">
        <v>110</v>
      </c>
      <c r="E13" s="8" t="s">
        <v>114</v>
      </c>
    </row>
    <row r="14" customFormat="false" ht="15" hidden="false" customHeight="false" outlineLevel="0" collapsed="false">
      <c r="A14" s="5" t="s">
        <v>115</v>
      </c>
      <c r="B14" s="5" t="s">
        <v>116</v>
      </c>
      <c r="C14" s="5" t="s">
        <v>117</v>
      </c>
      <c r="D14" s="5" t="s">
        <v>4</v>
      </c>
      <c r="E14" s="5" t="s">
        <v>118</v>
      </c>
    </row>
    <row r="15" customFormat="false" ht="15" hidden="false" customHeight="false" outlineLevel="0" collapsed="false">
      <c r="A15" s="8" t="s">
        <v>119</v>
      </c>
      <c r="B15" s="8" t="s">
        <v>120</v>
      </c>
      <c r="C15" s="8" t="s">
        <v>117</v>
      </c>
      <c r="D15" s="8" t="s">
        <v>4</v>
      </c>
      <c r="E15" s="8" t="s">
        <v>121</v>
      </c>
    </row>
    <row r="16" customFormat="false" ht="15" hidden="false" customHeight="false" outlineLevel="0" collapsed="false">
      <c r="A16" s="5" t="s">
        <v>122</v>
      </c>
      <c r="B16" s="5" t="s">
        <v>123</v>
      </c>
      <c r="C16" s="5" t="s">
        <v>117</v>
      </c>
      <c r="D16" s="5" t="s">
        <v>4</v>
      </c>
      <c r="E16" s="5" t="s">
        <v>124</v>
      </c>
    </row>
    <row r="17" customFormat="false" ht="15" hidden="false" customHeight="false" outlineLevel="0" collapsed="false">
      <c r="A17" s="8" t="s">
        <v>125</v>
      </c>
      <c r="B17" s="8" t="s">
        <v>126</v>
      </c>
      <c r="C17" s="8" t="s">
        <v>117</v>
      </c>
      <c r="D17" s="8" t="s">
        <v>4</v>
      </c>
      <c r="E17" s="8" t="s">
        <v>127</v>
      </c>
    </row>
    <row r="18" customFormat="false" ht="15" hidden="false" customHeight="false" outlineLevel="0" collapsed="false">
      <c r="A18" s="5" t="s">
        <v>128</v>
      </c>
      <c r="B18" s="5" t="s">
        <v>129</v>
      </c>
      <c r="C18" s="5" t="s">
        <v>117</v>
      </c>
      <c r="D18" s="5" t="s">
        <v>4</v>
      </c>
      <c r="E18" s="5" t="s">
        <v>130</v>
      </c>
    </row>
    <row r="19" customFormat="false" ht="15" hidden="false" customHeight="false" outlineLevel="0" collapsed="false">
      <c r="A19" s="8" t="s">
        <v>131</v>
      </c>
      <c r="B19" s="8" t="s">
        <v>132</v>
      </c>
      <c r="C19" s="8" t="s">
        <v>117</v>
      </c>
      <c r="D19" s="8" t="s">
        <v>4</v>
      </c>
      <c r="E19" s="8" t="s">
        <v>133</v>
      </c>
    </row>
    <row r="20" customFormat="false" ht="15" hidden="false" customHeight="false" outlineLevel="0" collapsed="false">
      <c r="A20" s="5" t="s">
        <v>134</v>
      </c>
      <c r="B20" s="5" t="s">
        <v>135</v>
      </c>
      <c r="C20" s="5" t="s">
        <v>117</v>
      </c>
      <c r="D20" s="5" t="s">
        <v>4</v>
      </c>
      <c r="E20" s="5" t="s">
        <v>136</v>
      </c>
    </row>
    <row r="21" customFormat="false" ht="15" hidden="false" customHeight="false" outlineLevel="0" collapsed="false">
      <c r="A21" s="8" t="s">
        <v>137</v>
      </c>
      <c r="B21" s="8" t="s">
        <v>138</v>
      </c>
      <c r="C21" s="8" t="s">
        <v>139</v>
      </c>
      <c r="D21" s="8" t="s">
        <v>139</v>
      </c>
      <c r="E21" s="8" t="s">
        <v>140</v>
      </c>
    </row>
    <row r="22" customFormat="false" ht="15" hidden="false" customHeight="false" outlineLevel="0" collapsed="false">
      <c r="A22" s="5" t="s">
        <v>141</v>
      </c>
      <c r="B22" s="5" t="s">
        <v>142</v>
      </c>
      <c r="C22" s="5" t="s">
        <v>139</v>
      </c>
      <c r="D22" s="5" t="s">
        <v>139</v>
      </c>
      <c r="E22" s="5" t="s">
        <v>143</v>
      </c>
    </row>
    <row r="23" customFormat="false" ht="15" hidden="false" customHeight="false" outlineLevel="0" collapsed="false">
      <c r="A23" s="8" t="s">
        <v>144</v>
      </c>
      <c r="B23" s="8" t="s">
        <v>145</v>
      </c>
      <c r="C23" s="8" t="s">
        <v>139</v>
      </c>
      <c r="D23" s="8" t="s">
        <v>139</v>
      </c>
      <c r="E23" s="8" t="s">
        <v>146</v>
      </c>
    </row>
    <row r="24" customFormat="false" ht="15" hidden="false" customHeight="false" outlineLevel="0" collapsed="false">
      <c r="A24" s="5" t="s">
        <v>147</v>
      </c>
      <c r="B24" s="5" t="s">
        <v>148</v>
      </c>
      <c r="C24" s="5" t="s">
        <v>149</v>
      </c>
      <c r="D24" s="5" t="s">
        <v>150</v>
      </c>
      <c r="E24" s="5" t="s">
        <v>151</v>
      </c>
    </row>
    <row r="25" customFormat="false" ht="15" hidden="false" customHeight="false" outlineLevel="0" collapsed="false">
      <c r="A25" s="8" t="s">
        <v>152</v>
      </c>
      <c r="B25" s="8" t="s">
        <v>153</v>
      </c>
      <c r="C25" s="8" t="s">
        <v>149</v>
      </c>
      <c r="D25" s="8" t="s">
        <v>150</v>
      </c>
      <c r="E25" s="8" t="s">
        <v>154</v>
      </c>
    </row>
    <row r="26" customFormat="false" ht="15" hidden="false" customHeight="false" outlineLevel="0" collapsed="false">
      <c r="A26" s="5" t="s">
        <v>155</v>
      </c>
      <c r="B26" s="5" t="s">
        <v>156</v>
      </c>
      <c r="C26" s="5" t="s">
        <v>149</v>
      </c>
      <c r="D26" s="5" t="s">
        <v>150</v>
      </c>
      <c r="E26" s="5" t="s">
        <v>157</v>
      </c>
    </row>
    <row r="27" customFormat="false" ht="15" hidden="false" customHeight="false" outlineLevel="0" collapsed="false">
      <c r="A27" s="8" t="s">
        <v>158</v>
      </c>
      <c r="B27" s="8" t="s">
        <v>159</v>
      </c>
      <c r="C27" s="8" t="s">
        <v>149</v>
      </c>
      <c r="D27" s="8" t="s">
        <v>150</v>
      </c>
      <c r="E27" s="8" t="s">
        <v>160</v>
      </c>
    </row>
    <row r="28" customFormat="false" ht="15" hidden="false" customHeight="false" outlineLevel="0" collapsed="false">
      <c r="A28" s="5" t="s">
        <v>161</v>
      </c>
      <c r="B28" s="5" t="s">
        <v>162</v>
      </c>
      <c r="C28" s="5" t="s">
        <v>149</v>
      </c>
      <c r="D28" s="5" t="s">
        <v>150</v>
      </c>
      <c r="E28" s="5" t="s">
        <v>163</v>
      </c>
    </row>
    <row r="29" customFormat="false" ht="15" hidden="false" customHeight="false" outlineLevel="0" collapsed="false">
      <c r="A29" s="8" t="s">
        <v>164</v>
      </c>
      <c r="B29" s="8" t="s">
        <v>165</v>
      </c>
      <c r="C29" s="8" t="s">
        <v>149</v>
      </c>
      <c r="D29" s="8" t="s">
        <v>150</v>
      </c>
      <c r="E29" s="8" t="s">
        <v>166</v>
      </c>
    </row>
    <row r="30" customFormat="false" ht="15" hidden="false" customHeight="false" outlineLevel="0" collapsed="false">
      <c r="A30" s="5" t="s">
        <v>167</v>
      </c>
      <c r="B30" s="5" t="s">
        <v>168</v>
      </c>
      <c r="C30" s="5" t="s">
        <v>149</v>
      </c>
      <c r="D30" s="5" t="s">
        <v>169</v>
      </c>
      <c r="E30" s="5" t="s">
        <v>170</v>
      </c>
    </row>
    <row r="31" customFormat="false" ht="15" hidden="false" customHeight="false" outlineLevel="0" collapsed="false">
      <c r="A31" s="8" t="s">
        <v>171</v>
      </c>
      <c r="B31" s="8" t="s">
        <v>172</v>
      </c>
      <c r="C31" s="8" t="s">
        <v>173</v>
      </c>
      <c r="D31" s="8" t="s">
        <v>174</v>
      </c>
      <c r="E31" s="8" t="s">
        <v>175</v>
      </c>
    </row>
    <row r="32" customFormat="false" ht="15" hidden="false" customHeight="false" outlineLevel="0" collapsed="false">
      <c r="A32" s="5" t="s">
        <v>176</v>
      </c>
      <c r="B32" s="5" t="s">
        <v>177</v>
      </c>
      <c r="C32" s="5" t="s">
        <v>173</v>
      </c>
      <c r="D32" s="5" t="s">
        <v>174</v>
      </c>
      <c r="E32" s="5" t="s">
        <v>178</v>
      </c>
    </row>
    <row r="33" customFormat="false" ht="15" hidden="false" customHeight="false" outlineLevel="0" collapsed="false">
      <c r="A33" s="8" t="s">
        <v>179</v>
      </c>
      <c r="B33" s="8" t="s">
        <v>180</v>
      </c>
      <c r="C33" s="8" t="s">
        <v>173</v>
      </c>
      <c r="D33" s="8" t="s">
        <v>174</v>
      </c>
      <c r="E33" s="8" t="s">
        <v>181</v>
      </c>
    </row>
    <row r="34" customFormat="false" ht="15" hidden="false" customHeight="false" outlineLevel="0" collapsed="false">
      <c r="A34" s="5" t="s">
        <v>182</v>
      </c>
      <c r="B34" s="5" t="s">
        <v>183</v>
      </c>
      <c r="C34" s="5" t="s">
        <v>173</v>
      </c>
      <c r="D34" s="5" t="s">
        <v>174</v>
      </c>
      <c r="E34" s="5" t="s">
        <v>184</v>
      </c>
    </row>
    <row r="35" customFormat="false" ht="15" hidden="false" customHeight="false" outlineLevel="0" collapsed="false">
      <c r="A35" s="8" t="s">
        <v>185</v>
      </c>
      <c r="B35" s="8" t="s">
        <v>186</v>
      </c>
      <c r="C35" s="8" t="s">
        <v>173</v>
      </c>
      <c r="D35" s="8" t="s">
        <v>174</v>
      </c>
      <c r="E35" s="8" t="s">
        <v>187</v>
      </c>
    </row>
    <row r="36" customFormat="false" ht="15" hidden="false" customHeight="false" outlineLevel="0" collapsed="false">
      <c r="A36" s="5" t="s">
        <v>188</v>
      </c>
      <c r="B36" s="5" t="s">
        <v>189</v>
      </c>
      <c r="C36" s="5" t="s">
        <v>173</v>
      </c>
      <c r="D36" s="5" t="s">
        <v>174</v>
      </c>
      <c r="E36" s="5" t="s">
        <v>190</v>
      </c>
    </row>
    <row r="37" customFormat="false" ht="15" hidden="false" customHeight="false" outlineLevel="0" collapsed="false">
      <c r="A37" s="8" t="s">
        <v>191</v>
      </c>
      <c r="B37" s="8" t="s">
        <v>192</v>
      </c>
      <c r="C37" s="8" t="s">
        <v>173</v>
      </c>
      <c r="D37" s="8" t="s">
        <v>174</v>
      </c>
      <c r="E37" s="8" t="s">
        <v>193</v>
      </c>
    </row>
    <row r="38" customFormat="false" ht="15" hidden="false" customHeight="false" outlineLevel="0" collapsed="false">
      <c r="A38" s="5" t="s">
        <v>194</v>
      </c>
      <c r="B38" s="5" t="s">
        <v>195</v>
      </c>
      <c r="C38" s="5" t="s">
        <v>173</v>
      </c>
      <c r="D38" s="5" t="s">
        <v>174</v>
      </c>
      <c r="E38" s="5" t="s">
        <v>196</v>
      </c>
    </row>
    <row r="39" customFormat="false" ht="15" hidden="false" customHeight="false" outlineLevel="0" collapsed="false">
      <c r="A39" s="8" t="s">
        <v>197</v>
      </c>
      <c r="B39" s="8" t="s">
        <v>198</v>
      </c>
      <c r="C39" s="8" t="s">
        <v>199</v>
      </c>
      <c r="D39" s="8" t="s">
        <v>150</v>
      </c>
      <c r="E39" s="8" t="s">
        <v>200</v>
      </c>
    </row>
    <row r="40" customFormat="false" ht="15" hidden="false" customHeight="false" outlineLevel="0" collapsed="false">
      <c r="A40" s="5" t="s">
        <v>201</v>
      </c>
      <c r="B40" s="5" t="s">
        <v>202</v>
      </c>
      <c r="C40" s="5" t="s">
        <v>199</v>
      </c>
      <c r="D40" s="5" t="s">
        <v>150</v>
      </c>
      <c r="E40" s="5" t="s">
        <v>203</v>
      </c>
    </row>
    <row r="41" customFormat="false" ht="15" hidden="false" customHeight="false" outlineLevel="0" collapsed="false">
      <c r="A41" s="8" t="s">
        <v>204</v>
      </c>
      <c r="B41" s="8" t="s">
        <v>205</v>
      </c>
      <c r="C41" s="8" t="s">
        <v>199</v>
      </c>
      <c r="D41" s="8" t="s">
        <v>150</v>
      </c>
      <c r="E41" s="8" t="s">
        <v>206</v>
      </c>
    </row>
    <row r="42" customFormat="false" ht="15" hidden="false" customHeight="false" outlineLevel="0" collapsed="false">
      <c r="A42" s="5" t="s">
        <v>207</v>
      </c>
      <c r="B42" s="5" t="s">
        <v>208</v>
      </c>
      <c r="C42" s="5" t="s">
        <v>199</v>
      </c>
      <c r="D42" s="5" t="s">
        <v>150</v>
      </c>
      <c r="E42" s="5" t="s">
        <v>209</v>
      </c>
    </row>
    <row r="43" customFormat="false" ht="15" hidden="false" customHeight="false" outlineLevel="0" collapsed="false">
      <c r="A43" s="8" t="s">
        <v>210</v>
      </c>
      <c r="B43" s="8" t="s">
        <v>211</v>
      </c>
      <c r="C43" s="8" t="s">
        <v>199</v>
      </c>
      <c r="D43" s="8" t="s">
        <v>150</v>
      </c>
      <c r="E43" s="8" t="s">
        <v>212</v>
      </c>
    </row>
    <row r="44" customFormat="false" ht="15" hidden="false" customHeight="false" outlineLevel="0" collapsed="false">
      <c r="A44" s="5" t="s">
        <v>213</v>
      </c>
      <c r="B44" s="5" t="s">
        <v>214</v>
      </c>
      <c r="C44" s="5" t="s">
        <v>199</v>
      </c>
      <c r="D44" s="5" t="s">
        <v>150</v>
      </c>
      <c r="E44" s="5" t="s">
        <v>215</v>
      </c>
    </row>
    <row r="45" customFormat="false" ht="15" hidden="false" customHeight="false" outlineLevel="0" collapsed="false">
      <c r="A45" s="8" t="s">
        <v>216</v>
      </c>
      <c r="B45" s="8" t="s">
        <v>217</v>
      </c>
      <c r="C45" s="8" t="s">
        <v>199</v>
      </c>
      <c r="D45" s="8" t="s">
        <v>150</v>
      </c>
      <c r="E45" s="8" t="s">
        <v>218</v>
      </c>
    </row>
    <row r="46" customFormat="false" ht="15" hidden="false" customHeight="false" outlineLevel="0" collapsed="false">
      <c r="A46" s="5" t="s">
        <v>219</v>
      </c>
      <c r="B46" s="5" t="s">
        <v>220</v>
      </c>
      <c r="C46" s="5" t="s">
        <v>199</v>
      </c>
      <c r="D46" s="5" t="s">
        <v>150</v>
      </c>
      <c r="E46" s="5" t="s">
        <v>221</v>
      </c>
    </row>
    <row r="47" customFormat="false" ht="15" hidden="false" customHeight="false" outlineLevel="0" collapsed="false">
      <c r="A47" s="8" t="s">
        <v>222</v>
      </c>
      <c r="B47" s="8" t="s">
        <v>223</v>
      </c>
      <c r="C47" s="8" t="s">
        <v>199</v>
      </c>
      <c r="D47" s="8" t="s">
        <v>150</v>
      </c>
      <c r="E47" s="8" t="s">
        <v>224</v>
      </c>
    </row>
    <row r="48" customFormat="false" ht="15" hidden="false" customHeight="false" outlineLevel="0" collapsed="false">
      <c r="A48" s="5" t="s">
        <v>225</v>
      </c>
      <c r="B48" s="5" t="s">
        <v>226</v>
      </c>
      <c r="C48" s="5" t="s">
        <v>199</v>
      </c>
      <c r="D48" s="5" t="s">
        <v>150</v>
      </c>
      <c r="E48" s="5" t="s">
        <v>227</v>
      </c>
    </row>
    <row r="49" customFormat="false" ht="15" hidden="false" customHeight="false" outlineLevel="0" collapsed="false">
      <c r="A49" s="8" t="s">
        <v>228</v>
      </c>
      <c r="B49" s="8" t="s">
        <v>229</v>
      </c>
      <c r="C49" s="8" t="s">
        <v>199</v>
      </c>
      <c r="D49" s="8" t="s">
        <v>150</v>
      </c>
      <c r="E49" s="8" t="s">
        <v>230</v>
      </c>
    </row>
    <row r="50" customFormat="false" ht="15" hidden="false" customHeight="false" outlineLevel="0" collapsed="false">
      <c r="A50" s="5" t="s">
        <v>231</v>
      </c>
      <c r="B50" s="5" t="s">
        <v>232</v>
      </c>
      <c r="C50" s="5" t="s">
        <v>233</v>
      </c>
      <c r="D50" s="5" t="s">
        <v>233</v>
      </c>
      <c r="E50" s="5" t="s">
        <v>234</v>
      </c>
    </row>
    <row r="51" customFormat="false" ht="15" hidden="false" customHeight="false" outlineLevel="0" collapsed="false">
      <c r="A51" s="8" t="s">
        <v>235</v>
      </c>
      <c r="B51" s="8" t="s">
        <v>236</v>
      </c>
      <c r="C51" s="8" t="s">
        <v>233</v>
      </c>
      <c r="D51" s="8" t="s">
        <v>233</v>
      </c>
      <c r="E51" s="8" t="s">
        <v>237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894"/>
    <pageSetUpPr fitToPage="false"/>
  </sheetPr>
  <dimension ref="A1:I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8"/>
    <col collapsed="false" customWidth="true" hidden="false" outlineLevel="0" max="6" min="2" style="0" width="14"/>
    <col collapsed="false" customWidth="true" hidden="false" outlineLevel="0" max="7" min="7" style="0" width="16"/>
  </cols>
  <sheetData>
    <row r="1" customFormat="false" ht="17.35" hidden="false" customHeight="false" outlineLevel="0" collapsed="false">
      <c r="A1" s="13" t="s">
        <v>238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F2" s="14" t="s">
        <v>239</v>
      </c>
      <c r="G2" s="15" t="n">
        <f aca="false">SUMPRODUCT(B5:B8,C5:C8)</f>
        <v>0</v>
      </c>
    </row>
    <row r="3" customFormat="false" ht="15" hidden="false" customHeight="false" outlineLevel="0" collapsed="false">
      <c r="F3" s="14" t="s">
        <v>240</v>
      </c>
      <c r="G3" s="16" t="n">
        <f aca="false">SUM(B5:B8)</f>
        <v>0</v>
      </c>
    </row>
    <row r="4" customFormat="false" ht="26.85" hidden="false" customHeight="false" outlineLevel="0" collapsed="false">
      <c r="A4" s="4" t="s">
        <v>241</v>
      </c>
      <c r="B4" s="4" t="s">
        <v>10</v>
      </c>
      <c r="C4" s="4" t="s">
        <v>242</v>
      </c>
      <c r="D4" s="4" t="s">
        <v>243</v>
      </c>
      <c r="E4" s="4" t="s">
        <v>244</v>
      </c>
      <c r="F4" s="4" t="s">
        <v>245</v>
      </c>
      <c r="G4" s="4" t="s">
        <v>246</v>
      </c>
    </row>
    <row r="5" customFormat="false" ht="15" hidden="false" customHeight="false" outlineLevel="0" collapsed="false">
      <c r="A5" s="5" t="s">
        <v>247</v>
      </c>
      <c r="B5" s="11" t="n">
        <v>0</v>
      </c>
      <c r="C5" s="17" t="n">
        <v>29.99</v>
      </c>
      <c r="D5" s="17" t="n">
        <f aca="false">B5*C5</f>
        <v>0</v>
      </c>
      <c r="E5" s="7" t="n">
        <v>0.75</v>
      </c>
      <c r="F5" s="17" t="n">
        <f aca="false">D5*E5</f>
        <v>0</v>
      </c>
      <c r="G5" s="17" t="n">
        <f aca="false">D5-F5</f>
        <v>0</v>
      </c>
    </row>
    <row r="6" customFormat="false" ht="15" hidden="false" customHeight="false" outlineLevel="0" collapsed="false">
      <c r="A6" s="8" t="s">
        <v>248</v>
      </c>
      <c r="B6" s="12" t="n">
        <v>0</v>
      </c>
      <c r="C6" s="18" t="n">
        <v>149.99</v>
      </c>
      <c r="D6" s="18" t="n">
        <f aca="false">B6*C6</f>
        <v>0</v>
      </c>
      <c r="E6" s="10" t="n">
        <v>0.75</v>
      </c>
      <c r="F6" s="18" t="n">
        <f aca="false">D6*E6</f>
        <v>0</v>
      </c>
      <c r="G6" s="18" t="n">
        <f aca="false">D6-F6</f>
        <v>0</v>
      </c>
    </row>
    <row r="7" customFormat="false" ht="15" hidden="false" customHeight="false" outlineLevel="0" collapsed="false">
      <c r="A7" s="5" t="s">
        <v>249</v>
      </c>
      <c r="B7" s="11" t="n">
        <v>0</v>
      </c>
      <c r="C7" s="17" t="n">
        <v>499.99</v>
      </c>
      <c r="D7" s="17" t="n">
        <f aca="false">B7*C7</f>
        <v>0</v>
      </c>
      <c r="E7" s="7" t="n">
        <v>0.75</v>
      </c>
      <c r="F7" s="17" t="n">
        <f aca="false">D7*E7</f>
        <v>0</v>
      </c>
      <c r="G7" s="17" t="n">
        <f aca="false">D7-F7</f>
        <v>0</v>
      </c>
    </row>
    <row r="8" customFormat="false" ht="15" hidden="false" customHeight="false" outlineLevel="0" collapsed="false">
      <c r="A8" s="8" t="s">
        <v>250</v>
      </c>
      <c r="B8" s="12" t="n">
        <v>0</v>
      </c>
      <c r="C8" s="18" t="n">
        <v>99.99</v>
      </c>
      <c r="D8" s="18" t="n">
        <f aca="false">B8*C8</f>
        <v>0</v>
      </c>
      <c r="E8" s="10" t="n">
        <v>0.85</v>
      </c>
      <c r="F8" s="18" t="n">
        <f aca="false">D8*E8</f>
        <v>0</v>
      </c>
      <c r="G8" s="18" t="n">
        <f aca="false">D8-F8</f>
        <v>0</v>
      </c>
    </row>
    <row r="9" customFormat="false" ht="15" hidden="false" customHeight="false" outlineLevel="0" collapsed="false">
      <c r="A9" s="14" t="s">
        <v>251</v>
      </c>
      <c r="B9" s="19" t="n">
        <f aca="false">SUM(B5:B8)</f>
        <v>0</v>
      </c>
      <c r="D9" s="20" t="n">
        <f aca="false">SUM(D5:D8)</f>
        <v>0</v>
      </c>
      <c r="F9" s="20" t="n">
        <f aca="false">SUM(F5:F8)</f>
        <v>0</v>
      </c>
      <c r="G9" s="20" t="n">
        <f aca="false">SUM(G5:G8)</f>
        <v>0</v>
      </c>
    </row>
    <row r="11" customFormat="false" ht="15" hidden="false" customHeight="false" outlineLevel="0" collapsed="false">
      <c r="A11" s="3" t="s">
        <v>252</v>
      </c>
    </row>
    <row r="12" customFormat="false" ht="26.85" hidden="false" customHeight="false" outlineLevel="0" collapsed="false">
      <c r="A12" s="4" t="s">
        <v>253</v>
      </c>
      <c r="B12" s="4" t="s">
        <v>254</v>
      </c>
      <c r="C12" s="4" t="s">
        <v>255</v>
      </c>
      <c r="D12" s="4" t="s">
        <v>256</v>
      </c>
      <c r="E12" s="4" t="s">
        <v>257</v>
      </c>
      <c r="F12" s="4" t="s">
        <v>258</v>
      </c>
      <c r="G12" s="4" t="s">
        <v>259</v>
      </c>
      <c r="H12" s="4" t="s">
        <v>260</v>
      </c>
      <c r="I12" s="4" t="s">
        <v>261</v>
      </c>
    </row>
    <row r="13" customFormat="false" ht="15" hidden="false" customHeight="false" outlineLevel="0" collapsed="false">
      <c r="A13" s="5" t="s">
        <v>262</v>
      </c>
      <c r="B13" s="17"/>
      <c r="C13" s="17"/>
      <c r="D13" s="17"/>
      <c r="E13" s="17"/>
      <c r="F13" s="17" t="n">
        <f aca="false">SUM(B13:E13)</f>
        <v>0</v>
      </c>
      <c r="G13" s="17" t="n">
        <f aca="false">(B13+C13+D13)*0.75+E13*0.85</f>
        <v>0</v>
      </c>
      <c r="H13" s="17" t="n">
        <f aca="false">F13-G13</f>
        <v>0</v>
      </c>
      <c r="I13" s="17" t="n">
        <f aca="false">H13</f>
        <v>0</v>
      </c>
    </row>
    <row r="14" customFormat="false" ht="15" hidden="false" customHeight="false" outlineLevel="0" collapsed="false">
      <c r="A14" s="8" t="s">
        <v>263</v>
      </c>
      <c r="B14" s="18"/>
      <c r="C14" s="18"/>
      <c r="D14" s="18"/>
      <c r="E14" s="18"/>
      <c r="F14" s="18" t="n">
        <f aca="false">SUM(B14:E14)</f>
        <v>0</v>
      </c>
      <c r="G14" s="18" t="n">
        <f aca="false">(B14+C14+D14)*0.75+E14*0.85</f>
        <v>0</v>
      </c>
      <c r="H14" s="18" t="n">
        <f aca="false">F14-G14</f>
        <v>0</v>
      </c>
      <c r="I14" s="18" t="n">
        <f aca="false">I13+H14</f>
        <v>0</v>
      </c>
    </row>
    <row r="15" customFormat="false" ht="15" hidden="false" customHeight="false" outlineLevel="0" collapsed="false">
      <c r="A15" s="5" t="s">
        <v>264</v>
      </c>
      <c r="B15" s="17"/>
      <c r="C15" s="17"/>
      <c r="D15" s="17"/>
      <c r="E15" s="17"/>
      <c r="F15" s="17" t="n">
        <f aca="false">SUM(B15:E15)</f>
        <v>0</v>
      </c>
      <c r="G15" s="17" t="n">
        <f aca="false">(B15+C15+D15)*0.75+E15*0.85</f>
        <v>0</v>
      </c>
      <c r="H15" s="17" t="n">
        <f aca="false">F15-G15</f>
        <v>0</v>
      </c>
      <c r="I15" s="17" t="n">
        <f aca="false">I14+H15</f>
        <v>0</v>
      </c>
    </row>
    <row r="16" customFormat="false" ht="15" hidden="false" customHeight="false" outlineLevel="0" collapsed="false">
      <c r="A16" s="8" t="s">
        <v>265</v>
      </c>
      <c r="B16" s="18"/>
      <c r="C16" s="18"/>
      <c r="D16" s="18"/>
      <c r="E16" s="18"/>
      <c r="F16" s="18" t="n">
        <f aca="false">SUM(B16:E16)</f>
        <v>0</v>
      </c>
      <c r="G16" s="18" t="n">
        <f aca="false">(B16+C16+D16)*0.75+E16*0.85</f>
        <v>0</v>
      </c>
      <c r="H16" s="18" t="n">
        <f aca="false">F16-G16</f>
        <v>0</v>
      </c>
      <c r="I16" s="18" t="n">
        <f aca="false">I15+H16</f>
        <v>0</v>
      </c>
    </row>
    <row r="17" customFormat="false" ht="15" hidden="false" customHeight="false" outlineLevel="0" collapsed="false">
      <c r="A17" s="5" t="s">
        <v>266</v>
      </c>
      <c r="B17" s="17"/>
      <c r="C17" s="17"/>
      <c r="D17" s="17"/>
      <c r="E17" s="17"/>
      <c r="F17" s="17" t="n">
        <f aca="false">SUM(B17:E17)</f>
        <v>0</v>
      </c>
      <c r="G17" s="17" t="n">
        <f aca="false">(B17+C17+D17)*0.75+E17*0.85</f>
        <v>0</v>
      </c>
      <c r="H17" s="17" t="n">
        <f aca="false">F17-G17</f>
        <v>0</v>
      </c>
      <c r="I17" s="17" t="n">
        <f aca="false">I16+H17</f>
        <v>0</v>
      </c>
    </row>
    <row r="18" customFormat="false" ht="15" hidden="false" customHeight="false" outlineLevel="0" collapsed="false">
      <c r="A18" s="8" t="s">
        <v>267</v>
      </c>
      <c r="B18" s="18"/>
      <c r="C18" s="18"/>
      <c r="D18" s="18"/>
      <c r="E18" s="18"/>
      <c r="F18" s="18" t="n">
        <f aca="false">SUM(B18:E18)</f>
        <v>0</v>
      </c>
      <c r="G18" s="18" t="n">
        <f aca="false">(B18+C18+D18)*0.75+E18*0.85</f>
        <v>0</v>
      </c>
      <c r="H18" s="18" t="n">
        <f aca="false">F18-G18</f>
        <v>0</v>
      </c>
      <c r="I18" s="18" t="n">
        <f aca="false">I17+H18</f>
        <v>0</v>
      </c>
    </row>
    <row r="19" customFormat="false" ht="15" hidden="false" customHeight="false" outlineLevel="0" collapsed="false">
      <c r="A19" s="5" t="s">
        <v>268</v>
      </c>
      <c r="B19" s="17"/>
      <c r="C19" s="17"/>
      <c r="D19" s="17"/>
      <c r="E19" s="17"/>
      <c r="F19" s="17" t="n">
        <f aca="false">SUM(B19:E19)</f>
        <v>0</v>
      </c>
      <c r="G19" s="17" t="n">
        <f aca="false">(B19+C19+D19)*0.75+E19*0.85</f>
        <v>0</v>
      </c>
      <c r="H19" s="17" t="n">
        <f aca="false">F19-G19</f>
        <v>0</v>
      </c>
      <c r="I19" s="17" t="n">
        <f aca="false">I18+H19</f>
        <v>0</v>
      </c>
    </row>
    <row r="20" customFormat="false" ht="15" hidden="false" customHeight="false" outlineLevel="0" collapsed="false">
      <c r="A20" s="8" t="s">
        <v>269</v>
      </c>
      <c r="B20" s="18"/>
      <c r="C20" s="18"/>
      <c r="D20" s="18"/>
      <c r="E20" s="18"/>
      <c r="F20" s="18" t="n">
        <f aca="false">SUM(B20:E20)</f>
        <v>0</v>
      </c>
      <c r="G20" s="18" t="n">
        <f aca="false">(B20+C20+D20)*0.75+E20*0.85</f>
        <v>0</v>
      </c>
      <c r="H20" s="18" t="n">
        <f aca="false">F20-G20</f>
        <v>0</v>
      </c>
      <c r="I20" s="18" t="n">
        <f aca="false">I19+H20</f>
        <v>0</v>
      </c>
    </row>
    <row r="21" customFormat="false" ht="15" hidden="false" customHeight="false" outlineLevel="0" collapsed="false">
      <c r="A21" s="5" t="s">
        <v>270</v>
      </c>
      <c r="B21" s="17"/>
      <c r="C21" s="17"/>
      <c r="D21" s="17"/>
      <c r="E21" s="17"/>
      <c r="F21" s="17" t="n">
        <f aca="false">SUM(B21:E21)</f>
        <v>0</v>
      </c>
      <c r="G21" s="17" t="n">
        <f aca="false">(B21+C21+D21)*0.75+E21*0.85</f>
        <v>0</v>
      </c>
      <c r="H21" s="17" t="n">
        <f aca="false">F21-G21</f>
        <v>0</v>
      </c>
      <c r="I21" s="17" t="n">
        <f aca="false">I20+H21</f>
        <v>0</v>
      </c>
    </row>
    <row r="22" customFormat="false" ht="15" hidden="false" customHeight="false" outlineLevel="0" collapsed="false">
      <c r="A22" s="8" t="s">
        <v>271</v>
      </c>
      <c r="B22" s="18"/>
      <c r="C22" s="18"/>
      <c r="D22" s="18"/>
      <c r="E22" s="18"/>
      <c r="F22" s="18" t="n">
        <f aca="false">SUM(B22:E22)</f>
        <v>0</v>
      </c>
      <c r="G22" s="18" t="n">
        <f aca="false">(B22+C22+D22)*0.75+E22*0.85</f>
        <v>0</v>
      </c>
      <c r="H22" s="18" t="n">
        <f aca="false">F22-G22</f>
        <v>0</v>
      </c>
      <c r="I22" s="18" t="n">
        <f aca="false">I21+H22</f>
        <v>0</v>
      </c>
    </row>
    <row r="23" customFormat="false" ht="15" hidden="false" customHeight="false" outlineLevel="0" collapsed="false">
      <c r="A23" s="5" t="s">
        <v>272</v>
      </c>
      <c r="B23" s="17"/>
      <c r="C23" s="17"/>
      <c r="D23" s="17"/>
      <c r="E23" s="17"/>
      <c r="F23" s="17" t="n">
        <f aca="false">SUM(B23:E23)</f>
        <v>0</v>
      </c>
      <c r="G23" s="17" t="n">
        <f aca="false">(B23+C23+D23)*0.75+E23*0.85</f>
        <v>0</v>
      </c>
      <c r="H23" s="17" t="n">
        <f aca="false">F23-G23</f>
        <v>0</v>
      </c>
      <c r="I23" s="17" t="n">
        <f aca="false">I22+H23</f>
        <v>0</v>
      </c>
    </row>
    <row r="24" customFormat="false" ht="15" hidden="false" customHeight="false" outlineLevel="0" collapsed="false">
      <c r="A24" s="8" t="s">
        <v>273</v>
      </c>
      <c r="B24" s="18"/>
      <c r="C24" s="18"/>
      <c r="D24" s="18"/>
      <c r="E24" s="18"/>
      <c r="F24" s="18" t="n">
        <f aca="false">SUM(B24:E24)</f>
        <v>0</v>
      </c>
      <c r="G24" s="18" t="n">
        <f aca="false">(B24+C24+D24)*0.75+E24*0.85</f>
        <v>0</v>
      </c>
      <c r="H24" s="18" t="n">
        <f aca="false">F24-G24</f>
        <v>0</v>
      </c>
      <c r="I24" s="18" t="n">
        <f aca="false">I23+H24</f>
        <v>0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984E3"/>
    <pageSetUpPr fitToPage="false"/>
  </sheetPr>
  <dimension ref="A1:G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6"/>
    <col collapsed="false" customWidth="true" hidden="false" outlineLevel="0" max="6" min="2" style="0" width="20"/>
    <col collapsed="false" customWidth="true" hidden="false" outlineLevel="0" max="7" min="7" style="0" width="25"/>
  </cols>
  <sheetData>
    <row r="1" customFormat="false" ht="17.35" hidden="false" customHeight="false" outlineLevel="0" collapsed="false">
      <c r="A1" s="13" t="s">
        <v>274</v>
      </c>
      <c r="B1" s="13"/>
      <c r="C1" s="13"/>
      <c r="D1" s="13"/>
      <c r="E1" s="13"/>
      <c r="F1" s="13"/>
      <c r="G1" s="13"/>
    </row>
    <row r="2" customFormat="false" ht="15" hidden="false" customHeight="false" outlineLevel="0" collapsed="false">
      <c r="A2" s="21" t="s">
        <v>275</v>
      </c>
    </row>
    <row r="4" customFormat="false" ht="15" hidden="false" customHeight="false" outlineLevel="0" collapsed="false">
      <c r="A4" s="4" t="s">
        <v>276</v>
      </c>
      <c r="B4" s="4" t="s">
        <v>277</v>
      </c>
      <c r="C4" s="4" t="s">
        <v>278</v>
      </c>
      <c r="D4" s="4" t="s">
        <v>279</v>
      </c>
      <c r="E4" s="4" t="s">
        <v>280</v>
      </c>
      <c r="F4" s="4" t="s">
        <v>281</v>
      </c>
      <c r="G4" s="4" t="s">
        <v>282</v>
      </c>
    </row>
    <row r="5" customFormat="false" ht="15" hidden="false" customHeight="false" outlineLevel="0" collapsed="false">
      <c r="A5" s="5" t="s">
        <v>262</v>
      </c>
      <c r="B5" s="17"/>
      <c r="C5" s="17"/>
      <c r="D5" s="17"/>
      <c r="E5" s="17"/>
      <c r="F5" s="17"/>
      <c r="G5" s="17" t="n">
        <f aca="false">D5-F5</f>
        <v>0</v>
      </c>
    </row>
    <row r="6" customFormat="false" ht="15" hidden="false" customHeight="false" outlineLevel="0" collapsed="false">
      <c r="A6" s="8" t="s">
        <v>263</v>
      </c>
      <c r="B6" s="18"/>
      <c r="C6" s="18"/>
      <c r="D6" s="18"/>
      <c r="E6" s="18"/>
      <c r="F6" s="18"/>
      <c r="G6" s="18" t="n">
        <f aca="false">D6-F6</f>
        <v>0</v>
      </c>
    </row>
    <row r="7" customFormat="false" ht="15" hidden="false" customHeight="false" outlineLevel="0" collapsed="false">
      <c r="A7" s="5" t="s">
        <v>264</v>
      </c>
      <c r="B7" s="17"/>
      <c r="C7" s="17"/>
      <c r="D7" s="17"/>
      <c r="E7" s="17"/>
      <c r="F7" s="17"/>
      <c r="G7" s="17" t="n">
        <f aca="false">D7-F7</f>
        <v>0</v>
      </c>
    </row>
    <row r="8" customFormat="false" ht="15" hidden="false" customHeight="false" outlineLevel="0" collapsed="false">
      <c r="A8" s="8" t="s">
        <v>265</v>
      </c>
      <c r="B8" s="18"/>
      <c r="C8" s="18"/>
      <c r="D8" s="18"/>
      <c r="E8" s="18"/>
      <c r="F8" s="18"/>
      <c r="G8" s="18" t="n">
        <f aca="false">D8-F8</f>
        <v>0</v>
      </c>
    </row>
    <row r="9" customFormat="false" ht="15" hidden="false" customHeight="false" outlineLevel="0" collapsed="false">
      <c r="A9" s="5" t="s">
        <v>266</v>
      </c>
      <c r="B9" s="17"/>
      <c r="C9" s="17"/>
      <c r="D9" s="17"/>
      <c r="E9" s="17"/>
      <c r="F9" s="17"/>
      <c r="G9" s="17" t="n">
        <f aca="false">D9-F9</f>
        <v>0</v>
      </c>
    </row>
    <row r="10" customFormat="false" ht="15" hidden="false" customHeight="false" outlineLevel="0" collapsed="false">
      <c r="A10" s="8" t="s">
        <v>267</v>
      </c>
      <c r="B10" s="18"/>
      <c r="C10" s="18"/>
      <c r="D10" s="18"/>
      <c r="E10" s="18"/>
      <c r="F10" s="18"/>
      <c r="G10" s="18" t="n">
        <f aca="false">D10-F10</f>
        <v>0</v>
      </c>
    </row>
    <row r="11" customFormat="false" ht="15" hidden="false" customHeight="false" outlineLevel="0" collapsed="false">
      <c r="A11" s="5" t="s">
        <v>268</v>
      </c>
      <c r="B11" s="17"/>
      <c r="C11" s="17"/>
      <c r="D11" s="17"/>
      <c r="E11" s="17"/>
      <c r="F11" s="17"/>
      <c r="G11" s="17" t="n">
        <f aca="false">D11-F11</f>
        <v>0</v>
      </c>
    </row>
    <row r="12" customFormat="false" ht="15" hidden="false" customHeight="false" outlineLevel="0" collapsed="false">
      <c r="A12" s="8" t="s">
        <v>269</v>
      </c>
      <c r="B12" s="18"/>
      <c r="C12" s="18"/>
      <c r="D12" s="18"/>
      <c r="E12" s="18"/>
      <c r="F12" s="18"/>
      <c r="G12" s="18" t="n">
        <f aca="false">D12-F12</f>
        <v>0</v>
      </c>
    </row>
    <row r="13" customFormat="false" ht="15" hidden="false" customHeight="false" outlineLevel="0" collapsed="false">
      <c r="A13" s="5" t="s">
        <v>270</v>
      </c>
      <c r="B13" s="17"/>
      <c r="C13" s="17"/>
      <c r="D13" s="17"/>
      <c r="E13" s="17"/>
      <c r="F13" s="17"/>
      <c r="G13" s="17" t="n">
        <f aca="false">D13-F13</f>
        <v>0</v>
      </c>
    </row>
    <row r="14" customFormat="false" ht="15" hidden="false" customHeight="false" outlineLevel="0" collapsed="false">
      <c r="A14" s="8" t="s">
        <v>271</v>
      </c>
      <c r="B14" s="18"/>
      <c r="C14" s="18"/>
      <c r="D14" s="18"/>
      <c r="E14" s="18"/>
      <c r="F14" s="18"/>
      <c r="G14" s="18" t="n">
        <f aca="false">D14-F14</f>
        <v>0</v>
      </c>
    </row>
    <row r="15" customFormat="false" ht="15" hidden="false" customHeight="false" outlineLevel="0" collapsed="false">
      <c r="A15" s="5" t="s">
        <v>272</v>
      </c>
      <c r="B15" s="17"/>
      <c r="C15" s="17"/>
      <c r="D15" s="17"/>
      <c r="E15" s="17"/>
      <c r="F15" s="17"/>
      <c r="G15" s="17" t="n">
        <f aca="false">D15-F15</f>
        <v>0</v>
      </c>
    </row>
    <row r="16" customFormat="false" ht="15" hidden="false" customHeight="false" outlineLevel="0" collapsed="false">
      <c r="A16" s="8" t="s">
        <v>273</v>
      </c>
      <c r="B16" s="18"/>
      <c r="C16" s="18"/>
      <c r="D16" s="18"/>
      <c r="E16" s="18"/>
      <c r="F16" s="18"/>
      <c r="G16" s="18" t="n">
        <f aca="false">D16-F16</f>
        <v>0</v>
      </c>
    </row>
    <row r="19" customFormat="false" ht="15" hidden="false" customHeight="false" outlineLevel="0" collapsed="false">
      <c r="A19" s="3" t="s">
        <v>283</v>
      </c>
    </row>
    <row r="20" customFormat="false" ht="15" hidden="false" customHeight="false" outlineLevel="0" collapsed="false">
      <c r="A20" s="4" t="s">
        <v>284</v>
      </c>
      <c r="B20" s="4" t="s">
        <v>81</v>
      </c>
      <c r="C20" s="4" t="s">
        <v>285</v>
      </c>
      <c r="D20" s="4" t="s">
        <v>80</v>
      </c>
      <c r="E20" s="4" t="s">
        <v>16</v>
      </c>
      <c r="F20" s="4" t="s">
        <v>286</v>
      </c>
    </row>
    <row r="21" customFormat="false" ht="15" hidden="false" customHeight="false" outlineLevel="0" collapsed="false">
      <c r="A21" s="22"/>
      <c r="B21" s="22"/>
      <c r="C21" s="23"/>
      <c r="D21" s="22"/>
      <c r="E21" s="22"/>
      <c r="F21" s="22"/>
    </row>
    <row r="22" customFormat="false" ht="15" hidden="false" customHeight="false" outlineLevel="0" collapsed="false">
      <c r="A22" s="22"/>
      <c r="B22" s="22"/>
      <c r="C22" s="23"/>
      <c r="D22" s="22"/>
      <c r="E22" s="22"/>
      <c r="F22" s="22"/>
    </row>
    <row r="23" customFormat="false" ht="15" hidden="false" customHeight="false" outlineLevel="0" collapsed="false">
      <c r="A23" s="22"/>
      <c r="B23" s="22"/>
      <c r="C23" s="23"/>
      <c r="D23" s="22"/>
      <c r="E23" s="22"/>
      <c r="F23" s="22"/>
    </row>
    <row r="24" customFormat="false" ht="15" hidden="false" customHeight="false" outlineLevel="0" collapsed="false">
      <c r="A24" s="22"/>
      <c r="B24" s="22"/>
      <c r="C24" s="23"/>
      <c r="D24" s="22"/>
      <c r="E24" s="22"/>
      <c r="F24" s="22"/>
    </row>
    <row r="25" customFormat="false" ht="15" hidden="false" customHeight="false" outlineLevel="0" collapsed="false">
      <c r="A25" s="22"/>
      <c r="B25" s="22"/>
      <c r="C25" s="23"/>
      <c r="D25" s="22"/>
      <c r="E25" s="22"/>
      <c r="F25" s="22"/>
    </row>
    <row r="26" customFormat="false" ht="15" hidden="false" customHeight="false" outlineLevel="0" collapsed="false">
      <c r="A26" s="22"/>
      <c r="B26" s="22"/>
      <c r="C26" s="23"/>
      <c r="D26" s="22"/>
      <c r="E26" s="22"/>
      <c r="F26" s="22"/>
    </row>
    <row r="27" customFormat="false" ht="15" hidden="false" customHeight="false" outlineLevel="0" collapsed="false">
      <c r="A27" s="22"/>
      <c r="B27" s="22"/>
      <c r="C27" s="23"/>
      <c r="D27" s="22"/>
      <c r="E27" s="22"/>
      <c r="F27" s="22"/>
    </row>
    <row r="28" customFormat="false" ht="15" hidden="false" customHeight="false" outlineLevel="0" collapsed="false">
      <c r="A28" s="22"/>
      <c r="B28" s="22"/>
      <c r="C28" s="23"/>
      <c r="D28" s="22"/>
      <c r="E28" s="22"/>
      <c r="F28" s="22"/>
    </row>
    <row r="29" customFormat="false" ht="15" hidden="false" customHeight="false" outlineLevel="0" collapsed="false">
      <c r="A29" s="22"/>
      <c r="B29" s="22"/>
      <c r="C29" s="23"/>
      <c r="D29" s="22"/>
      <c r="E29" s="22"/>
      <c r="F29" s="22"/>
    </row>
    <row r="30" customFormat="false" ht="15" hidden="false" customHeight="false" outlineLevel="0" collapsed="false">
      <c r="A30" s="22"/>
      <c r="B30" s="22"/>
      <c r="C30" s="23"/>
      <c r="D30" s="22"/>
      <c r="E30" s="22"/>
      <c r="F30" s="22"/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E2B714"/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0"/>
    <col collapsed="false" customWidth="true" hidden="false" outlineLevel="0" max="7" min="3" style="0" width="15"/>
    <col collapsed="false" customWidth="true" hidden="false" outlineLevel="0" max="8" min="8" style="0" width="18"/>
  </cols>
  <sheetData>
    <row r="1" customFormat="false" ht="17.35" hidden="false" customHeight="false" outlineLevel="0" collapsed="false">
      <c r="A1" s="13" t="s">
        <v>287</v>
      </c>
      <c r="B1" s="13"/>
      <c r="C1" s="13"/>
      <c r="D1" s="13"/>
      <c r="E1" s="13"/>
      <c r="F1" s="13"/>
      <c r="G1" s="13"/>
      <c r="H1" s="13"/>
    </row>
    <row r="2" customFormat="false" ht="15" hidden="false" customHeight="false" outlineLevel="0" collapsed="false">
      <c r="A2" s="21" t="s">
        <v>288</v>
      </c>
    </row>
    <row r="4" customFormat="false" ht="26.85" hidden="false" customHeight="false" outlineLevel="0" collapsed="false">
      <c r="A4" s="4" t="s">
        <v>289</v>
      </c>
      <c r="B4" s="4" t="s">
        <v>290</v>
      </c>
      <c r="C4" s="4" t="s">
        <v>241</v>
      </c>
      <c r="D4" s="4" t="s">
        <v>291</v>
      </c>
      <c r="E4" s="4" t="s">
        <v>292</v>
      </c>
      <c r="F4" s="4" t="s">
        <v>293</v>
      </c>
      <c r="G4" s="4" t="s">
        <v>294</v>
      </c>
      <c r="H4" s="4" t="s">
        <v>295</v>
      </c>
    </row>
    <row r="5" customFormat="false" ht="15" hidden="false" customHeight="false" outlineLevel="0" collapsed="false">
      <c r="A5" s="8" t="s">
        <v>296</v>
      </c>
      <c r="B5" s="8" t="s">
        <v>297</v>
      </c>
      <c r="C5" s="8" t="s">
        <v>257</v>
      </c>
      <c r="D5" s="18" t="n">
        <v>0</v>
      </c>
      <c r="E5" s="10" t="n">
        <v>0.85</v>
      </c>
      <c r="F5" s="18" t="n">
        <f aca="false">D5*E5</f>
        <v>0</v>
      </c>
      <c r="G5" s="18" t="n">
        <v>0</v>
      </c>
      <c r="H5" s="18" t="n">
        <f aca="false">F5-G5</f>
        <v>0</v>
      </c>
    </row>
    <row r="6" customFormat="false" ht="15" hidden="false" customHeight="false" outlineLevel="0" collapsed="false">
      <c r="A6" s="22"/>
      <c r="B6" s="22"/>
      <c r="C6" s="22"/>
      <c r="D6" s="23"/>
      <c r="E6" s="24"/>
      <c r="F6" s="23" t="str">
        <f aca="false">IF(D6="","",D6*E6)</f>
        <v/>
      </c>
      <c r="G6" s="23"/>
      <c r="H6" s="23" t="str">
        <f aca="false">IF(F6="","",F6-G6)</f>
        <v/>
      </c>
    </row>
    <row r="7" customFormat="false" ht="15" hidden="false" customHeight="false" outlineLevel="0" collapsed="false">
      <c r="A7" s="22"/>
      <c r="B7" s="22"/>
      <c r="C7" s="22"/>
      <c r="D7" s="23"/>
      <c r="E7" s="24"/>
      <c r="F7" s="23" t="str">
        <f aca="false">IF(D7="","",D7*E7)</f>
        <v/>
      </c>
      <c r="G7" s="23"/>
      <c r="H7" s="23" t="str">
        <f aca="false">IF(F7="","",F7-G7)</f>
        <v/>
      </c>
    </row>
    <row r="8" customFormat="false" ht="15" hidden="false" customHeight="false" outlineLevel="0" collapsed="false">
      <c r="A8" s="22"/>
      <c r="B8" s="22"/>
      <c r="C8" s="22"/>
      <c r="D8" s="23"/>
      <c r="E8" s="24"/>
      <c r="F8" s="23" t="str">
        <f aca="false">IF(D8="","",D8*E8)</f>
        <v/>
      </c>
      <c r="G8" s="23"/>
      <c r="H8" s="23" t="str">
        <f aca="false">IF(F8="","",F8-G8)</f>
        <v/>
      </c>
    </row>
    <row r="9" customFormat="false" ht="15" hidden="false" customHeight="false" outlineLevel="0" collapsed="false">
      <c r="A9" s="22"/>
      <c r="B9" s="22"/>
      <c r="C9" s="22"/>
      <c r="D9" s="23"/>
      <c r="E9" s="24"/>
      <c r="F9" s="23" t="str">
        <f aca="false">IF(D9="","",D9*E9)</f>
        <v/>
      </c>
      <c r="G9" s="23"/>
      <c r="H9" s="23" t="str">
        <f aca="false">IF(F9="","",F9-G9)</f>
        <v/>
      </c>
    </row>
    <row r="10" customFormat="false" ht="15" hidden="false" customHeight="false" outlineLevel="0" collapsed="false">
      <c r="A10" s="22"/>
      <c r="B10" s="22"/>
      <c r="C10" s="22"/>
      <c r="D10" s="23"/>
      <c r="E10" s="24"/>
      <c r="F10" s="23" t="str">
        <f aca="false">IF(D10="","",D10*E10)</f>
        <v/>
      </c>
      <c r="G10" s="23"/>
      <c r="H10" s="23" t="str">
        <f aca="false">IF(F10="","",F10-G10)</f>
        <v/>
      </c>
    </row>
    <row r="11" customFormat="false" ht="15" hidden="false" customHeight="false" outlineLevel="0" collapsed="false">
      <c r="A11" s="22"/>
      <c r="B11" s="22"/>
      <c r="C11" s="22"/>
      <c r="D11" s="23"/>
      <c r="E11" s="24"/>
      <c r="F11" s="23" t="str">
        <f aca="false">IF(D11="","",D11*E11)</f>
        <v/>
      </c>
      <c r="G11" s="23"/>
      <c r="H11" s="23" t="str">
        <f aca="false">IF(F11="","",F11-G11)</f>
        <v/>
      </c>
    </row>
    <row r="12" customFormat="false" ht="15" hidden="false" customHeight="false" outlineLevel="0" collapsed="false">
      <c r="A12" s="22"/>
      <c r="B12" s="22"/>
      <c r="C12" s="22"/>
      <c r="D12" s="23"/>
      <c r="E12" s="24"/>
      <c r="F12" s="23" t="str">
        <f aca="false">IF(D12="","",D12*E12)</f>
        <v/>
      </c>
      <c r="G12" s="23"/>
      <c r="H12" s="23" t="str">
        <f aca="false">IF(F12="","",F12-G12)</f>
        <v/>
      </c>
    </row>
    <row r="13" customFormat="false" ht="15" hidden="false" customHeight="false" outlineLevel="0" collapsed="false">
      <c r="A13" s="22"/>
      <c r="B13" s="22"/>
      <c r="C13" s="22"/>
      <c r="D13" s="23"/>
      <c r="E13" s="24"/>
      <c r="F13" s="23" t="str">
        <f aca="false">IF(D13="","",D13*E13)</f>
        <v/>
      </c>
      <c r="G13" s="23"/>
      <c r="H13" s="23" t="str">
        <f aca="false">IF(F13="","",F13-G13)</f>
        <v/>
      </c>
    </row>
    <row r="14" customFormat="false" ht="15" hidden="false" customHeight="false" outlineLevel="0" collapsed="false">
      <c r="A14" s="22"/>
      <c r="B14" s="22"/>
      <c r="C14" s="22"/>
      <c r="D14" s="23"/>
      <c r="E14" s="24"/>
      <c r="F14" s="23" t="str">
        <f aca="false">IF(D14="","",D14*E14)</f>
        <v/>
      </c>
      <c r="G14" s="23"/>
      <c r="H14" s="23" t="str">
        <f aca="false">IF(F14="","",F14-G14)</f>
        <v/>
      </c>
    </row>
    <row r="15" customFormat="false" ht="15" hidden="false" customHeight="false" outlineLevel="0" collapsed="false">
      <c r="A15" s="22"/>
      <c r="B15" s="22"/>
      <c r="C15" s="22"/>
      <c r="D15" s="23"/>
      <c r="E15" s="24"/>
      <c r="F15" s="23" t="str">
        <f aca="false">IF(D15="","",D15*E15)</f>
        <v/>
      </c>
      <c r="G15" s="23"/>
      <c r="H15" s="23" t="str">
        <f aca="false">IF(F15="","",F15-G15)</f>
        <v/>
      </c>
    </row>
    <row r="16" customFormat="false" ht="15" hidden="false" customHeight="false" outlineLevel="0" collapsed="false">
      <c r="A16" s="22"/>
      <c r="B16" s="22"/>
      <c r="C16" s="22"/>
      <c r="D16" s="23"/>
      <c r="E16" s="24"/>
      <c r="F16" s="23" t="str">
        <f aca="false">IF(D16="","",D16*E16)</f>
        <v/>
      </c>
      <c r="G16" s="23"/>
      <c r="H16" s="23" t="str">
        <f aca="false">IF(F16="","",F16-G16)</f>
        <v/>
      </c>
    </row>
    <row r="17" customFormat="false" ht="15" hidden="false" customHeight="false" outlineLevel="0" collapsed="false">
      <c r="A17" s="22"/>
      <c r="B17" s="22"/>
      <c r="C17" s="22"/>
      <c r="D17" s="23"/>
      <c r="E17" s="24"/>
      <c r="F17" s="23" t="str">
        <f aca="false">IF(D17="","",D17*E17)</f>
        <v/>
      </c>
      <c r="G17" s="23"/>
      <c r="H17" s="23" t="str">
        <f aca="false">IF(F17="","",F17-G17)</f>
        <v/>
      </c>
    </row>
    <row r="18" customFormat="false" ht="15" hidden="false" customHeight="false" outlineLevel="0" collapsed="false">
      <c r="A18" s="22"/>
      <c r="B18" s="22"/>
      <c r="C18" s="22"/>
      <c r="D18" s="23"/>
      <c r="E18" s="24"/>
      <c r="F18" s="23" t="str">
        <f aca="false">IF(D18="","",D18*E18)</f>
        <v/>
      </c>
      <c r="G18" s="23"/>
      <c r="H18" s="23" t="str">
        <f aca="false">IF(F18="","",F18-G18)</f>
        <v/>
      </c>
    </row>
    <row r="19" customFormat="false" ht="15" hidden="false" customHeight="false" outlineLevel="0" collapsed="false">
      <c r="A19" s="22"/>
      <c r="B19" s="22"/>
      <c r="C19" s="22"/>
      <c r="D19" s="23"/>
      <c r="E19" s="24"/>
      <c r="F19" s="23" t="str">
        <f aca="false">IF(D19="","",D19*E19)</f>
        <v/>
      </c>
      <c r="G19" s="23"/>
      <c r="H19" s="23" t="str">
        <f aca="false">IF(F19="","",F19-G19)</f>
        <v/>
      </c>
    </row>
    <row r="20" customFormat="false" ht="15" hidden="false" customHeight="false" outlineLevel="0" collapsed="false">
      <c r="A20" s="22"/>
      <c r="B20" s="22"/>
      <c r="C20" s="22"/>
      <c r="D20" s="23"/>
      <c r="E20" s="24"/>
      <c r="F20" s="23" t="str">
        <f aca="false">IF(D20="","",D20*E20)</f>
        <v/>
      </c>
      <c r="G20" s="23"/>
      <c r="H20" s="23" t="str">
        <f aca="false">IF(F20="","",F20-G20)</f>
        <v/>
      </c>
    </row>
    <row r="21" customFormat="false" ht="15" hidden="false" customHeight="false" outlineLevel="0" collapsed="false">
      <c r="A21" s="22"/>
      <c r="B21" s="22"/>
      <c r="C21" s="22"/>
      <c r="D21" s="23"/>
      <c r="E21" s="24"/>
      <c r="F21" s="23" t="str">
        <f aca="false">IF(D21="","",D21*E21)</f>
        <v/>
      </c>
      <c r="G21" s="23"/>
      <c r="H21" s="23" t="str">
        <f aca="false">IF(F21="","",F21-G21)</f>
        <v/>
      </c>
    </row>
    <row r="22" customFormat="false" ht="15" hidden="false" customHeight="false" outlineLevel="0" collapsed="false">
      <c r="A22" s="22"/>
      <c r="B22" s="22"/>
      <c r="C22" s="22"/>
      <c r="D22" s="23"/>
      <c r="E22" s="24"/>
      <c r="F22" s="23" t="str">
        <f aca="false">IF(D22="","",D22*E22)</f>
        <v/>
      </c>
      <c r="G22" s="23"/>
      <c r="H22" s="23" t="str">
        <f aca="false">IF(F22="","",F22-G22)</f>
        <v/>
      </c>
    </row>
    <row r="23" customFormat="false" ht="15" hidden="false" customHeight="false" outlineLevel="0" collapsed="false">
      <c r="A23" s="22"/>
      <c r="B23" s="22"/>
      <c r="C23" s="22"/>
      <c r="D23" s="23"/>
      <c r="E23" s="24"/>
      <c r="F23" s="23" t="str">
        <f aca="false">IF(D23="","",D23*E23)</f>
        <v/>
      </c>
      <c r="G23" s="23"/>
      <c r="H23" s="23" t="str">
        <f aca="false">IF(F23="","",F23-G23)</f>
        <v/>
      </c>
    </row>
    <row r="24" customFormat="false" ht="15" hidden="false" customHeight="false" outlineLevel="0" collapsed="false">
      <c r="A24" s="22"/>
      <c r="B24" s="22"/>
      <c r="C24" s="22"/>
      <c r="D24" s="23"/>
      <c r="E24" s="24"/>
      <c r="F24" s="23" t="str">
        <f aca="false">IF(D24="","",D24*E24)</f>
        <v/>
      </c>
      <c r="G24" s="23"/>
      <c r="H24" s="23" t="str">
        <f aca="false">IF(F24="","",F24-G24)</f>
        <v/>
      </c>
    </row>
    <row r="25" customFormat="false" ht="15" hidden="false" customHeight="false" outlineLevel="0" collapsed="false">
      <c r="A25" s="14" t="s">
        <v>251</v>
      </c>
      <c r="D25" s="20" t="n">
        <f aca="false">SUM(D5:D24)</f>
        <v>0</v>
      </c>
      <c r="F25" s="20" t="n">
        <f aca="false">SUM(F5:F24)</f>
        <v>0</v>
      </c>
      <c r="G25" s="20" t="n">
        <f aca="false">SUM(G5:G24)</f>
        <v>0</v>
      </c>
      <c r="H25" s="20" t="n">
        <f aca="false">SUM(H5:H24)</f>
        <v>0</v>
      </c>
    </row>
  </sheetData>
  <mergeCells count="1">
    <mergeCell ref="A1:H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C5CE7"/>
    <pageSetUpPr fitToPage="false"/>
  </sheetPr>
  <dimension ref="A1:F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5"/>
    <col collapsed="false" customWidth="true" hidden="false" outlineLevel="0" max="6" min="2" style="0" width="16"/>
  </cols>
  <sheetData>
    <row r="1" customFormat="false" ht="17.35" hidden="false" customHeight="false" outlineLevel="0" collapsed="false">
      <c r="A1" s="13" t="s">
        <v>298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1" t="s">
        <v>299</v>
      </c>
    </row>
    <row r="4" customFormat="false" ht="15" hidden="false" customHeight="false" outlineLevel="0" collapsed="false">
      <c r="A4" s="4"/>
      <c r="B4" s="4" t="s">
        <v>300</v>
      </c>
      <c r="C4" s="4" t="s">
        <v>301</v>
      </c>
      <c r="D4" s="4" t="s">
        <v>302</v>
      </c>
      <c r="E4" s="4" t="s">
        <v>303</v>
      </c>
      <c r="F4" s="4" t="s">
        <v>304</v>
      </c>
    </row>
    <row r="5" customFormat="false" ht="15" hidden="false" customHeight="false" outlineLevel="0" collapsed="false">
      <c r="A5" s="25" t="s">
        <v>305</v>
      </c>
    </row>
    <row r="6" customFormat="false" ht="15" hidden="false" customHeight="false" outlineLevel="0" collapsed="false">
      <c r="A6" s="26" t="s">
        <v>148</v>
      </c>
      <c r="B6" s="27" t="n">
        <v>90</v>
      </c>
      <c r="C6" s="27" t="n">
        <v>300</v>
      </c>
      <c r="D6" s="27" t="n">
        <v>750</v>
      </c>
      <c r="E6" s="27" t="n">
        <v>1500</v>
      </c>
      <c r="F6" s="15" t="n">
        <f aca="false">SUM(B6:E6)</f>
        <v>2640</v>
      </c>
    </row>
    <row r="7" customFormat="false" ht="15" hidden="false" customHeight="false" outlineLevel="0" collapsed="false">
      <c r="A7" s="26" t="s">
        <v>153</v>
      </c>
      <c r="B7" s="27" t="n">
        <v>0</v>
      </c>
      <c r="C7" s="27" t="n">
        <v>450</v>
      </c>
      <c r="D7" s="27" t="n">
        <v>1500</v>
      </c>
      <c r="E7" s="27" t="n">
        <v>3000</v>
      </c>
      <c r="F7" s="15" t="n">
        <f aca="false">SUM(B7:E7)</f>
        <v>4950</v>
      </c>
    </row>
    <row r="8" customFormat="false" ht="15" hidden="false" customHeight="false" outlineLevel="0" collapsed="false">
      <c r="A8" s="26" t="s">
        <v>156</v>
      </c>
      <c r="B8" s="27" t="n">
        <v>0</v>
      </c>
      <c r="C8" s="27" t="n">
        <v>0</v>
      </c>
      <c r="D8" s="27" t="n">
        <v>1500</v>
      </c>
      <c r="E8" s="27" t="n">
        <v>3000</v>
      </c>
      <c r="F8" s="15" t="n">
        <f aca="false">SUM(B8:E8)</f>
        <v>4500</v>
      </c>
    </row>
    <row r="9" customFormat="false" ht="15" hidden="false" customHeight="false" outlineLevel="0" collapsed="false">
      <c r="A9" s="26" t="s">
        <v>159</v>
      </c>
      <c r="B9" s="27" t="n">
        <v>300</v>
      </c>
      <c r="C9" s="27" t="n">
        <v>500</v>
      </c>
      <c r="D9" s="27" t="n">
        <v>700</v>
      </c>
      <c r="E9" s="27" t="n">
        <v>900</v>
      </c>
      <c r="F9" s="15" t="n">
        <f aca="false">SUM(B9:E9)</f>
        <v>2400</v>
      </c>
    </row>
    <row r="10" customFormat="false" ht="15" hidden="false" customHeight="false" outlineLevel="0" collapsed="false">
      <c r="A10" s="25" t="s">
        <v>306</v>
      </c>
      <c r="B10" s="28" t="n">
        <f aca="false">SUM(B6:B9)</f>
        <v>390</v>
      </c>
      <c r="C10" s="28" t="n">
        <f aca="false">SUM(C6:C9)</f>
        <v>1250</v>
      </c>
      <c r="D10" s="28" t="n">
        <f aca="false">SUM(D6:D9)</f>
        <v>4450</v>
      </c>
      <c r="E10" s="28" t="n">
        <f aca="false">SUM(E6:E9)</f>
        <v>8400</v>
      </c>
      <c r="F10" s="28" t="n">
        <f aca="false">SUM(F6:F9)</f>
        <v>14490</v>
      </c>
    </row>
    <row r="11" customFormat="false" ht="15" hidden="false" customHeight="false" outlineLevel="0" collapsed="false">
      <c r="A11" s="26"/>
    </row>
    <row r="12" customFormat="false" ht="15" hidden="false" customHeight="false" outlineLevel="0" collapsed="false">
      <c r="A12" s="25" t="s">
        <v>307</v>
      </c>
    </row>
    <row r="13" customFormat="false" ht="15" hidden="false" customHeight="false" outlineLevel="0" collapsed="false">
      <c r="A13" s="26" t="s">
        <v>308</v>
      </c>
      <c r="B13" s="27" t="n">
        <v>25</v>
      </c>
      <c r="C13" s="27" t="n">
        <v>50</v>
      </c>
      <c r="D13" s="27" t="n">
        <v>100</v>
      </c>
      <c r="E13" s="27" t="n">
        <v>200</v>
      </c>
      <c r="F13" s="15" t="n">
        <f aca="false">SUM(B13:E13)</f>
        <v>375</v>
      </c>
    </row>
    <row r="14" customFormat="false" ht="15" hidden="false" customHeight="false" outlineLevel="0" collapsed="false">
      <c r="A14" s="26" t="s">
        <v>183</v>
      </c>
      <c r="B14" s="27" t="n">
        <v>50</v>
      </c>
      <c r="C14" s="27" t="n">
        <v>100</v>
      </c>
      <c r="D14" s="27" t="n">
        <v>200</v>
      </c>
      <c r="E14" s="27" t="n">
        <v>400</v>
      </c>
      <c r="F14" s="15" t="n">
        <f aca="false">SUM(B14:E14)</f>
        <v>750</v>
      </c>
    </row>
    <row r="15" customFormat="false" ht="15" hidden="false" customHeight="false" outlineLevel="0" collapsed="false">
      <c r="A15" s="26" t="s">
        <v>186</v>
      </c>
      <c r="B15" s="15" t="n">
        <f aca="false">B10*0.029</f>
        <v>11.31</v>
      </c>
      <c r="C15" s="15" t="n">
        <f aca="false">C10*0.029</f>
        <v>36.25</v>
      </c>
      <c r="D15" s="15" t="n">
        <f aca="false">D10*0.029</f>
        <v>129.05</v>
      </c>
      <c r="E15" s="15" t="n">
        <f aca="false">E10*0.029</f>
        <v>243.6</v>
      </c>
      <c r="F15" s="15" t="n">
        <f aca="false">F10*0.029</f>
        <v>420.21</v>
      </c>
    </row>
    <row r="16" customFormat="false" ht="15" hidden="false" customHeight="false" outlineLevel="0" collapsed="false">
      <c r="A16" s="26" t="s">
        <v>309</v>
      </c>
      <c r="B16" s="15" t="n">
        <f aca="false">B10*0.77</f>
        <v>300.3</v>
      </c>
      <c r="C16" s="15" t="n">
        <f aca="false">C10*0.77</f>
        <v>962.5</v>
      </c>
      <c r="D16" s="15" t="n">
        <f aca="false">D10*0.77</f>
        <v>3426.5</v>
      </c>
      <c r="E16" s="15" t="n">
        <f aca="false">E10*0.77</f>
        <v>6468</v>
      </c>
      <c r="F16" s="15" t="n">
        <f aca="false">F10*0.77</f>
        <v>11157.3</v>
      </c>
    </row>
    <row r="17" customFormat="false" ht="15" hidden="false" customHeight="false" outlineLevel="0" collapsed="false">
      <c r="A17" s="26" t="s">
        <v>310</v>
      </c>
      <c r="B17" s="27" t="n">
        <v>10</v>
      </c>
      <c r="C17" s="27" t="n">
        <v>20</v>
      </c>
      <c r="D17" s="27" t="n">
        <v>40</v>
      </c>
      <c r="E17" s="27" t="n">
        <v>75</v>
      </c>
      <c r="F17" s="15" t="n">
        <f aca="false">SUM(B17:E17)</f>
        <v>145</v>
      </c>
    </row>
    <row r="18" customFormat="false" ht="15" hidden="false" customHeight="false" outlineLevel="0" collapsed="false">
      <c r="A18" s="25" t="s">
        <v>311</v>
      </c>
      <c r="B18" s="28" t="n">
        <f aca="false">SUM(B13:B17)</f>
        <v>396.61</v>
      </c>
      <c r="C18" s="28" t="n">
        <f aca="false">SUM(C13:C17)</f>
        <v>1168.75</v>
      </c>
      <c r="D18" s="28" t="n">
        <f aca="false">SUM(D13:D17)</f>
        <v>3895.55</v>
      </c>
      <c r="E18" s="28" t="n">
        <f aca="false">SUM(E13:E17)</f>
        <v>7386.6</v>
      </c>
      <c r="F18" s="28" t="n">
        <f aca="false">SUM(F13:F17)</f>
        <v>12847.51</v>
      </c>
    </row>
    <row r="19" customFormat="false" ht="15" hidden="false" customHeight="false" outlineLevel="0" collapsed="false">
      <c r="A19" s="26"/>
    </row>
    <row r="20" customFormat="false" ht="15" hidden="false" customHeight="false" outlineLevel="0" collapsed="false">
      <c r="A20" s="25" t="s">
        <v>312</v>
      </c>
      <c r="B20" s="29" t="n">
        <f aca="false">B10-B18</f>
        <v>-6.61000000000001</v>
      </c>
      <c r="C20" s="29" t="n">
        <f aca="false">C10-C18</f>
        <v>81.25</v>
      </c>
      <c r="D20" s="29" t="n">
        <f aca="false">D10-D18</f>
        <v>554.45</v>
      </c>
      <c r="E20" s="29" t="n">
        <f aca="false">E10-E18</f>
        <v>1013.4</v>
      </c>
      <c r="F20" s="29" t="n">
        <f aca="false">F10-F18</f>
        <v>1642.49</v>
      </c>
    </row>
    <row r="21" customFormat="false" ht="15" hidden="false" customHeight="false" outlineLevel="0" collapsed="false">
      <c r="A21" s="25" t="s">
        <v>313</v>
      </c>
      <c r="B21" s="30" t="n">
        <f aca="false">IF(B10=0,0,B20/B10)</f>
        <v>-0.016948717948718</v>
      </c>
      <c r="C21" s="30" t="n">
        <f aca="false">IF(C10=0,0,C20/C10)</f>
        <v>0.065</v>
      </c>
      <c r="D21" s="30" t="n">
        <f aca="false">IF(D10=0,0,D20/D10)</f>
        <v>0.124595505617977</v>
      </c>
      <c r="E21" s="30" t="n">
        <f aca="false">IF(E10=0,0,E20/E10)</f>
        <v>0.120642857142857</v>
      </c>
      <c r="F21" s="30" t="n">
        <f aca="false">IF(F10=0,0,F20/F10)</f>
        <v>0.113353347135956</v>
      </c>
    </row>
    <row r="22" customFormat="false" ht="15" hidden="false" customHeight="false" outlineLevel="0" collapsed="false">
      <c r="A22" s="26"/>
    </row>
    <row r="23" customFormat="false" ht="15" hidden="false" customHeight="false" outlineLevel="0" collapsed="false">
      <c r="A23" s="25" t="s">
        <v>314</v>
      </c>
    </row>
    <row r="24" customFormat="false" ht="15" hidden="false" customHeight="false" outlineLevel="0" collapsed="false">
      <c r="A24" s="26" t="s">
        <v>202</v>
      </c>
      <c r="B24" s="27" t="n">
        <v>40</v>
      </c>
      <c r="C24" s="27" t="n">
        <v>10</v>
      </c>
      <c r="D24" s="27" t="n">
        <v>10</v>
      </c>
      <c r="E24" s="27" t="n">
        <v>10</v>
      </c>
      <c r="F24" s="15" t="n">
        <f aca="false">SUM(B24:E24)</f>
        <v>70</v>
      </c>
    </row>
    <row r="25" customFormat="false" ht="15" hidden="false" customHeight="false" outlineLevel="0" collapsed="false">
      <c r="A25" s="26" t="s">
        <v>205</v>
      </c>
      <c r="B25" s="27" t="n">
        <v>100</v>
      </c>
      <c r="C25" s="27" t="n">
        <v>120</v>
      </c>
      <c r="D25" s="27" t="n">
        <v>150</v>
      </c>
      <c r="E25" s="27" t="n">
        <v>180</v>
      </c>
      <c r="F25" s="15" t="n">
        <f aca="false">SUM(B25:E25)</f>
        <v>550</v>
      </c>
    </row>
    <row r="26" customFormat="false" ht="15" hidden="false" customHeight="false" outlineLevel="0" collapsed="false">
      <c r="A26" s="26" t="s">
        <v>315</v>
      </c>
      <c r="B26" s="27" t="n">
        <v>500</v>
      </c>
      <c r="C26" s="27" t="n">
        <v>500</v>
      </c>
      <c r="D26" s="27" t="n">
        <v>750</v>
      </c>
      <c r="E26" s="27" t="n">
        <v>1000</v>
      </c>
      <c r="F26" s="15" t="n">
        <f aca="false">SUM(B26:E26)</f>
        <v>2750</v>
      </c>
    </row>
    <row r="27" customFormat="false" ht="15" hidden="false" customHeight="false" outlineLevel="0" collapsed="false">
      <c r="A27" s="26" t="s">
        <v>211</v>
      </c>
      <c r="B27" s="27" t="n">
        <v>100</v>
      </c>
      <c r="C27" s="27" t="n">
        <v>200</v>
      </c>
      <c r="D27" s="27" t="n">
        <v>400</v>
      </c>
      <c r="E27" s="27" t="n">
        <v>600</v>
      </c>
      <c r="F27" s="15" t="n">
        <f aca="false">SUM(B27:E27)</f>
        <v>1300</v>
      </c>
    </row>
    <row r="28" customFormat="false" ht="15" hidden="false" customHeight="false" outlineLevel="0" collapsed="false">
      <c r="A28" s="26" t="s">
        <v>226</v>
      </c>
      <c r="B28" s="27" t="n">
        <v>75</v>
      </c>
      <c r="C28" s="27" t="n">
        <v>75</v>
      </c>
      <c r="D28" s="27" t="n">
        <v>75</v>
      </c>
      <c r="E28" s="27" t="n">
        <v>75</v>
      </c>
      <c r="F28" s="15" t="n">
        <f aca="false">SUM(B28:E28)</f>
        <v>300</v>
      </c>
    </row>
    <row r="29" customFormat="false" ht="15" hidden="false" customHeight="false" outlineLevel="0" collapsed="false">
      <c r="A29" s="26" t="s">
        <v>316</v>
      </c>
      <c r="B29" s="27" t="n">
        <v>50</v>
      </c>
      <c r="C29" s="27" t="n">
        <v>75</v>
      </c>
      <c r="D29" s="27" t="n">
        <v>100</v>
      </c>
      <c r="E29" s="27" t="n">
        <v>125</v>
      </c>
      <c r="F29" s="15" t="n">
        <f aca="false">SUM(B29:E29)</f>
        <v>350</v>
      </c>
    </row>
    <row r="30" customFormat="false" ht="15" hidden="false" customHeight="false" outlineLevel="0" collapsed="false">
      <c r="A30" s="25" t="s">
        <v>317</v>
      </c>
      <c r="B30" s="28" t="n">
        <f aca="false">SUM(B24:B29)</f>
        <v>865</v>
      </c>
      <c r="C30" s="28" t="n">
        <f aca="false">SUM(C24:C29)</f>
        <v>980</v>
      </c>
      <c r="D30" s="28" t="n">
        <f aca="false">SUM(D24:D29)</f>
        <v>1485</v>
      </c>
      <c r="E30" s="28" t="n">
        <f aca="false">SUM(E24:E29)</f>
        <v>1990</v>
      </c>
      <c r="F30" s="28" t="n">
        <f aca="false">SUM(F24:F29)</f>
        <v>5320</v>
      </c>
    </row>
    <row r="31" customFormat="false" ht="15" hidden="false" customHeight="false" outlineLevel="0" collapsed="false">
      <c r="A31" s="26"/>
    </row>
    <row r="32" customFormat="false" ht="15" hidden="false" customHeight="false" outlineLevel="0" collapsed="false">
      <c r="A32" s="25" t="s">
        <v>318</v>
      </c>
      <c r="B32" s="29" t="n">
        <f aca="false">B20-B30</f>
        <v>-871.61</v>
      </c>
      <c r="C32" s="29" t="n">
        <f aca="false">C20-C30</f>
        <v>-898.75</v>
      </c>
      <c r="D32" s="29" t="n">
        <f aca="false">D20-D30</f>
        <v>-930.55</v>
      </c>
      <c r="E32" s="29" t="n">
        <f aca="false">E20-E30</f>
        <v>-976.6</v>
      </c>
      <c r="F32" s="29" t="n">
        <f aca="false">F20-F30</f>
        <v>-3677.51</v>
      </c>
    </row>
    <row r="33" customFormat="false" ht="15" hidden="false" customHeight="false" outlineLevel="0" collapsed="false">
      <c r="A33" s="26"/>
    </row>
    <row r="34" customFormat="false" ht="15" hidden="false" customHeight="false" outlineLevel="0" collapsed="false">
      <c r="A34" s="26" t="s">
        <v>319</v>
      </c>
      <c r="B34" s="15" t="n">
        <f aca="false">B24*0.15</f>
        <v>6</v>
      </c>
      <c r="C34" s="15" t="n">
        <f aca="false">C24*0.15</f>
        <v>1.5</v>
      </c>
      <c r="D34" s="15" t="n">
        <f aca="false">D24*0.15</f>
        <v>1.5</v>
      </c>
      <c r="E34" s="15" t="n">
        <f aca="false">E24*0.15</f>
        <v>1.5</v>
      </c>
      <c r="F34" s="15" t="n">
        <f aca="false">F24*0.15</f>
        <v>10.5</v>
      </c>
    </row>
    <row r="35" customFormat="false" ht="15" hidden="false" customHeight="false" outlineLevel="0" collapsed="false">
      <c r="A35" s="25" t="s">
        <v>320</v>
      </c>
      <c r="B35" s="31" t="n">
        <f aca="false">B32+B34</f>
        <v>-865.61</v>
      </c>
      <c r="C35" s="31" t="n">
        <f aca="false">C32+C34</f>
        <v>-897.25</v>
      </c>
      <c r="D35" s="31" t="n">
        <f aca="false">D32+D34</f>
        <v>-929.05</v>
      </c>
      <c r="E35" s="31" t="n">
        <f aca="false">E32+E34</f>
        <v>-975.1</v>
      </c>
      <c r="F35" s="31" t="n">
        <f aca="false">F32+F34</f>
        <v>-3667.01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63031"/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5"/>
    <col collapsed="false" customWidth="true" hidden="false" outlineLevel="0" max="4" min="3" style="0" width="15"/>
    <col collapsed="false" customWidth="true" hidden="false" outlineLevel="0" max="5" min="5" style="0" width="20"/>
    <col collapsed="false" customWidth="true" hidden="false" outlineLevel="0" max="6" min="6" style="0" width="25"/>
  </cols>
  <sheetData>
    <row r="1" customFormat="false" ht="17.35" hidden="false" customHeight="false" outlineLevel="0" collapsed="false">
      <c r="A1" s="13" t="s">
        <v>321</v>
      </c>
      <c r="B1" s="13"/>
      <c r="C1" s="13"/>
      <c r="D1" s="13"/>
      <c r="E1" s="13"/>
      <c r="F1" s="13"/>
    </row>
    <row r="3" customFormat="false" ht="15" hidden="false" customHeight="false" outlineLevel="0" collapsed="false">
      <c r="A3" s="4" t="s">
        <v>322</v>
      </c>
      <c r="B3" s="4" t="s">
        <v>323</v>
      </c>
      <c r="C3" s="4" t="s">
        <v>324</v>
      </c>
      <c r="D3" s="4" t="s">
        <v>16</v>
      </c>
      <c r="E3" s="4" t="s">
        <v>44</v>
      </c>
      <c r="F3" s="4" t="s">
        <v>325</v>
      </c>
    </row>
    <row r="4" customFormat="false" ht="15" hidden="false" customHeight="false" outlineLevel="0" collapsed="false">
      <c r="A4" s="5" t="s">
        <v>326</v>
      </c>
      <c r="B4" s="5" t="s">
        <v>327</v>
      </c>
      <c r="C4" s="5" t="s">
        <v>296</v>
      </c>
      <c r="D4" s="5"/>
      <c r="E4" s="5"/>
      <c r="F4" s="5" t="s">
        <v>328</v>
      </c>
    </row>
    <row r="5" customFormat="false" ht="15" hidden="false" customHeight="false" outlineLevel="0" collapsed="false">
      <c r="A5" s="8" t="s">
        <v>326</v>
      </c>
      <c r="B5" s="8" t="s">
        <v>329</v>
      </c>
      <c r="C5" s="8" t="s">
        <v>296</v>
      </c>
      <c r="D5" s="8"/>
      <c r="E5" s="8"/>
      <c r="F5" s="8" t="s">
        <v>330</v>
      </c>
    </row>
    <row r="6" customFormat="false" ht="15" hidden="false" customHeight="false" outlineLevel="0" collapsed="false">
      <c r="A6" s="5" t="s">
        <v>326</v>
      </c>
      <c r="B6" s="5" t="s">
        <v>331</v>
      </c>
      <c r="C6" s="5" t="s">
        <v>296</v>
      </c>
      <c r="D6" s="5"/>
      <c r="E6" s="5"/>
      <c r="F6" s="5" t="s">
        <v>332</v>
      </c>
    </row>
    <row r="7" customFormat="false" ht="15" hidden="false" customHeight="false" outlineLevel="0" collapsed="false">
      <c r="A7" s="8" t="s">
        <v>333</v>
      </c>
      <c r="B7" s="8" t="s">
        <v>334</v>
      </c>
      <c r="C7" s="8" t="s">
        <v>296</v>
      </c>
      <c r="D7" s="8"/>
      <c r="E7" s="8"/>
      <c r="F7" s="8" t="s">
        <v>335</v>
      </c>
    </row>
    <row r="8" customFormat="false" ht="15" hidden="false" customHeight="false" outlineLevel="0" collapsed="false">
      <c r="A8" s="5" t="s">
        <v>333</v>
      </c>
      <c r="B8" s="5" t="s">
        <v>336</v>
      </c>
      <c r="C8" s="5" t="s">
        <v>296</v>
      </c>
      <c r="D8" s="5"/>
      <c r="E8" s="5"/>
      <c r="F8" s="5" t="s">
        <v>337</v>
      </c>
    </row>
    <row r="9" customFormat="false" ht="15" hidden="false" customHeight="false" outlineLevel="0" collapsed="false">
      <c r="A9" s="8" t="s">
        <v>333</v>
      </c>
      <c r="B9" s="8" t="s">
        <v>338</v>
      </c>
      <c r="C9" s="8" t="s">
        <v>296</v>
      </c>
      <c r="D9" s="8"/>
      <c r="E9" s="8"/>
      <c r="F9" s="8" t="s">
        <v>339</v>
      </c>
    </row>
    <row r="10" customFormat="false" ht="15" hidden="false" customHeight="false" outlineLevel="0" collapsed="false">
      <c r="A10" s="5" t="s">
        <v>333</v>
      </c>
      <c r="B10" s="5" t="s">
        <v>340</v>
      </c>
      <c r="C10" s="5" t="s">
        <v>296</v>
      </c>
      <c r="D10" s="5"/>
      <c r="E10" s="5"/>
      <c r="F10" s="5" t="s">
        <v>341</v>
      </c>
    </row>
    <row r="11" customFormat="false" ht="15" hidden="false" customHeight="false" outlineLevel="0" collapsed="false">
      <c r="A11" s="8" t="s">
        <v>333</v>
      </c>
      <c r="B11" s="8" t="s">
        <v>342</v>
      </c>
      <c r="C11" s="8" t="s">
        <v>296</v>
      </c>
      <c r="D11" s="8"/>
      <c r="E11" s="8"/>
      <c r="F11" s="8" t="s">
        <v>343</v>
      </c>
    </row>
    <row r="12" customFormat="false" ht="15" hidden="false" customHeight="false" outlineLevel="0" collapsed="false">
      <c r="A12" s="5" t="s">
        <v>333</v>
      </c>
      <c r="B12" s="5" t="s">
        <v>344</v>
      </c>
      <c r="C12" s="5" t="s">
        <v>296</v>
      </c>
      <c r="D12" s="5"/>
      <c r="E12" s="5"/>
      <c r="F12" s="5" t="s">
        <v>345</v>
      </c>
    </row>
    <row r="13" customFormat="false" ht="15" hidden="false" customHeight="false" outlineLevel="0" collapsed="false">
      <c r="A13" s="8" t="s">
        <v>346</v>
      </c>
      <c r="B13" s="8" t="s">
        <v>347</v>
      </c>
      <c r="C13" s="8" t="s">
        <v>296</v>
      </c>
      <c r="D13" s="8"/>
      <c r="E13" s="8"/>
      <c r="F13" s="8" t="s">
        <v>348</v>
      </c>
    </row>
    <row r="14" customFormat="false" ht="15" hidden="false" customHeight="false" outlineLevel="0" collapsed="false">
      <c r="A14" s="5" t="s">
        <v>346</v>
      </c>
      <c r="B14" s="5" t="s">
        <v>349</v>
      </c>
      <c r="C14" s="5" t="s">
        <v>296</v>
      </c>
      <c r="D14" s="5"/>
      <c r="E14" s="5"/>
      <c r="F14" s="5" t="s">
        <v>350</v>
      </c>
    </row>
    <row r="15" customFormat="false" ht="15" hidden="false" customHeight="false" outlineLevel="0" collapsed="false">
      <c r="A15" s="8" t="s">
        <v>346</v>
      </c>
      <c r="B15" s="8" t="s">
        <v>351</v>
      </c>
      <c r="C15" s="8" t="s">
        <v>296</v>
      </c>
      <c r="D15" s="8"/>
      <c r="E15" s="8"/>
      <c r="F15" s="8" t="s">
        <v>352</v>
      </c>
    </row>
    <row r="16" customFormat="false" ht="15" hidden="false" customHeight="false" outlineLevel="0" collapsed="false">
      <c r="A16" s="5" t="s">
        <v>346</v>
      </c>
      <c r="B16" s="5" t="s">
        <v>353</v>
      </c>
      <c r="C16" s="5" t="s">
        <v>296</v>
      </c>
      <c r="D16" s="5"/>
      <c r="E16" s="5"/>
      <c r="F16" s="5" t="s">
        <v>354</v>
      </c>
    </row>
    <row r="17" customFormat="false" ht="15" hidden="false" customHeight="false" outlineLevel="0" collapsed="false">
      <c r="A17" s="8" t="s">
        <v>355</v>
      </c>
      <c r="B17" s="8" t="s">
        <v>356</v>
      </c>
      <c r="C17" s="8" t="s">
        <v>296</v>
      </c>
      <c r="D17" s="8"/>
      <c r="E17" s="8"/>
      <c r="F17" s="8" t="s">
        <v>357</v>
      </c>
    </row>
    <row r="18" customFormat="false" ht="15" hidden="false" customHeight="false" outlineLevel="0" collapsed="false">
      <c r="A18" s="5" t="s">
        <v>355</v>
      </c>
      <c r="B18" s="5" t="s">
        <v>358</v>
      </c>
      <c r="C18" s="5" t="s">
        <v>296</v>
      </c>
      <c r="D18" s="5"/>
      <c r="E18" s="5"/>
      <c r="F18" s="5" t="s">
        <v>359</v>
      </c>
    </row>
    <row r="19" customFormat="false" ht="15" hidden="false" customHeight="false" outlineLevel="0" collapsed="false">
      <c r="A19" s="8" t="s">
        <v>355</v>
      </c>
      <c r="B19" s="8" t="s">
        <v>360</v>
      </c>
      <c r="C19" s="8" t="s">
        <v>296</v>
      </c>
      <c r="D19" s="8"/>
      <c r="E19" s="8"/>
      <c r="F19" s="8" t="s">
        <v>361</v>
      </c>
    </row>
    <row r="20" customFormat="false" ht="15" hidden="false" customHeight="false" outlineLevel="0" collapsed="false">
      <c r="A20" s="5" t="s">
        <v>355</v>
      </c>
      <c r="B20" s="5" t="s">
        <v>362</v>
      </c>
      <c r="C20" s="5" t="s">
        <v>296</v>
      </c>
      <c r="D20" s="5"/>
      <c r="E20" s="5"/>
      <c r="F20" s="5" t="s">
        <v>363</v>
      </c>
    </row>
    <row r="21" customFormat="false" ht="15" hidden="false" customHeight="false" outlineLevel="0" collapsed="false">
      <c r="A21" s="8" t="s">
        <v>355</v>
      </c>
      <c r="B21" s="8" t="s">
        <v>364</v>
      </c>
      <c r="C21" s="8" t="s">
        <v>296</v>
      </c>
      <c r="D21" s="8"/>
      <c r="E21" s="8"/>
      <c r="F21" s="8" t="s">
        <v>365</v>
      </c>
    </row>
    <row r="22" customFormat="false" ht="15" hidden="false" customHeight="false" outlineLevel="0" collapsed="false">
      <c r="A22" s="5" t="s">
        <v>366</v>
      </c>
      <c r="B22" s="5" t="s">
        <v>367</v>
      </c>
      <c r="C22" s="5" t="s">
        <v>296</v>
      </c>
      <c r="D22" s="5"/>
      <c r="E22" s="5"/>
      <c r="F22" s="5" t="s">
        <v>368</v>
      </c>
    </row>
    <row r="23" customFormat="false" ht="15" hidden="false" customHeight="false" outlineLevel="0" collapsed="false">
      <c r="A23" s="8" t="s">
        <v>366</v>
      </c>
      <c r="B23" s="8" t="s">
        <v>369</v>
      </c>
      <c r="C23" s="8" t="s">
        <v>296</v>
      </c>
      <c r="D23" s="8"/>
      <c r="E23" s="8"/>
      <c r="F23" s="8" t="s">
        <v>370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36E72"/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2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30"/>
    <col collapsed="false" customWidth="true" hidden="false" outlineLevel="0" max="6" min="6" style="0" width="45"/>
  </cols>
  <sheetData>
    <row r="1" customFormat="false" ht="17.35" hidden="false" customHeight="false" outlineLevel="0" collapsed="false">
      <c r="A1" s="13" t="s">
        <v>371</v>
      </c>
      <c r="B1" s="13"/>
      <c r="C1" s="13"/>
      <c r="D1" s="13"/>
      <c r="E1" s="13"/>
      <c r="F1" s="13"/>
    </row>
    <row r="2" customFormat="false" ht="15" hidden="false" customHeight="false" outlineLevel="0" collapsed="false">
      <c r="A2" s="21" t="s">
        <v>372</v>
      </c>
    </row>
    <row r="4" customFormat="false" ht="15" hidden="false" customHeight="false" outlineLevel="0" collapsed="false">
      <c r="A4" s="4" t="s">
        <v>241</v>
      </c>
      <c r="B4" s="4" t="s">
        <v>373</v>
      </c>
      <c r="C4" s="4" t="s">
        <v>242</v>
      </c>
      <c r="D4" s="4" t="s">
        <v>374</v>
      </c>
      <c r="E4" s="4" t="s">
        <v>375</v>
      </c>
      <c r="F4" s="4" t="s">
        <v>376</v>
      </c>
    </row>
    <row r="5" customFormat="false" ht="15" hidden="false" customHeight="false" outlineLevel="0" collapsed="false">
      <c r="A5" s="5" t="s">
        <v>247</v>
      </c>
      <c r="B5" s="5" t="s">
        <v>377</v>
      </c>
      <c r="C5" s="17" t="n">
        <v>29.99</v>
      </c>
      <c r="D5" s="5" t="s">
        <v>378</v>
      </c>
      <c r="E5" s="5" t="s">
        <v>379</v>
      </c>
      <c r="F5" s="5" t="s">
        <v>380</v>
      </c>
    </row>
    <row r="6" customFormat="false" ht="15" hidden="false" customHeight="false" outlineLevel="0" collapsed="false">
      <c r="A6" s="8" t="s">
        <v>248</v>
      </c>
      <c r="B6" s="8" t="s">
        <v>381</v>
      </c>
      <c r="C6" s="18" t="n">
        <v>149.99</v>
      </c>
      <c r="D6" s="8" t="s">
        <v>382</v>
      </c>
      <c r="E6" s="8" t="s">
        <v>383</v>
      </c>
      <c r="F6" s="8" t="s">
        <v>384</v>
      </c>
    </row>
    <row r="7" customFormat="false" ht="15" hidden="false" customHeight="false" outlineLevel="0" collapsed="false">
      <c r="A7" s="5" t="s">
        <v>249</v>
      </c>
      <c r="B7" s="5" t="s">
        <v>385</v>
      </c>
      <c r="C7" s="17" t="n">
        <v>499.99</v>
      </c>
      <c r="D7" s="5" t="s">
        <v>386</v>
      </c>
      <c r="E7" s="5" t="s">
        <v>387</v>
      </c>
      <c r="F7" s="5" t="s">
        <v>388</v>
      </c>
    </row>
    <row r="8" customFormat="false" ht="15" hidden="false" customHeight="false" outlineLevel="0" collapsed="false">
      <c r="A8" s="8" t="s">
        <v>250</v>
      </c>
      <c r="B8" s="8" t="s">
        <v>389</v>
      </c>
      <c r="C8" s="18" t="n">
        <v>99.99</v>
      </c>
      <c r="D8" s="8" t="s">
        <v>390</v>
      </c>
      <c r="E8" s="8" t="s">
        <v>391</v>
      </c>
      <c r="F8" s="8" t="s">
        <v>392</v>
      </c>
    </row>
    <row r="10" customFormat="false" ht="15" hidden="false" customHeight="false" outlineLevel="0" collapsed="false">
      <c r="A10" s="3" t="s">
        <v>393</v>
      </c>
    </row>
    <row r="11" customFormat="false" ht="15" hidden="false" customHeight="false" outlineLevel="0" collapsed="false">
      <c r="A11" s="4" t="s">
        <v>241</v>
      </c>
      <c r="B11" s="4" t="s">
        <v>394</v>
      </c>
      <c r="C11" s="4" t="s">
        <v>395</v>
      </c>
      <c r="D11" s="4" t="s">
        <v>325</v>
      </c>
    </row>
    <row r="12" customFormat="false" ht="15" hidden="false" customHeight="false" outlineLevel="0" collapsed="false">
      <c r="A12" s="5" t="s">
        <v>247</v>
      </c>
      <c r="B12" s="7" t="n">
        <v>0.75</v>
      </c>
      <c r="C12" s="7" t="n">
        <v>0.25</v>
      </c>
      <c r="D12" s="5" t="s">
        <v>396</v>
      </c>
    </row>
    <row r="13" customFormat="false" ht="15" hidden="false" customHeight="false" outlineLevel="0" collapsed="false">
      <c r="A13" s="8" t="s">
        <v>248</v>
      </c>
      <c r="B13" s="10" t="n">
        <v>0.75</v>
      </c>
      <c r="C13" s="10" t="n">
        <v>0.25</v>
      </c>
      <c r="D13" s="8" t="s">
        <v>397</v>
      </c>
    </row>
    <row r="14" customFormat="false" ht="15" hidden="false" customHeight="false" outlineLevel="0" collapsed="false">
      <c r="A14" s="5" t="s">
        <v>249</v>
      </c>
      <c r="B14" s="7" t="n">
        <v>0.75</v>
      </c>
      <c r="C14" s="7" t="n">
        <v>0.25</v>
      </c>
      <c r="D14" s="5" t="s">
        <v>398</v>
      </c>
    </row>
    <row r="15" customFormat="false" ht="15" hidden="false" customHeight="false" outlineLevel="0" collapsed="false">
      <c r="A15" s="8" t="s">
        <v>250</v>
      </c>
      <c r="B15" s="10" t="n">
        <v>0.85</v>
      </c>
      <c r="C15" s="10" t="n">
        <v>0.15</v>
      </c>
      <c r="D15" s="8" t="s">
        <v>399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LibreOffice/25.2.6.2$Linux_AARCH64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2026-03-26T02:04:55Z</dcterms:created>
  <dc:creator>openpyxl</dc:creator>
  <dc:description/>
  <dc:language>en-US</dc:language>
  <cp:lastModifiedBy/>
  <dcterms:modified xsi:type="dcterms:W3CDTF">2026-03-26T02:04:55Z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